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_2027" sheetId="1" r:id="rId5"/>
  </sheets>
  <definedNames>
    <definedName hidden="1" localSheetId="0" name="Z_C0A4387F_A44E_4C11_B182_07380818D8CE_.wvu.FilterData">'2024_2027'!$A$1:$BG$196</definedName>
    <definedName hidden="1" localSheetId="0" name="Z_4357504D_0832_43C3_8459_00721CA7ED7F_.wvu.FilterData">'2024_2027'!$A$1:$BG$480</definedName>
  </definedNames>
  <calcPr/>
  <customWorkbookViews>
    <customWorkbookView activeSheetId="0" maximized="1" windowHeight="0" windowWidth="0" guid="{C0A4387F-A44E-4C11-B182-07380818D8CE}" name="GIRLESA"/>
    <customWorkbookView activeSheetId="0" maximized="1" windowHeight="0" windowWidth="0" guid="{4357504D-0832-43C3-8459-00721CA7ED7F}" name="jonathan"/>
  </customWorkbookViews>
</workbook>
</file>

<file path=xl/sharedStrings.xml><?xml version="1.0" encoding="utf-8"?>
<sst xmlns="http://schemas.openxmlformats.org/spreadsheetml/2006/main" count="4111" uniqueCount="1382">
  <si>
    <t>VIGENCIA</t>
  </si>
  <si>
    <t>SUPERVISOR</t>
  </si>
  <si>
    <t>INDICADOR</t>
  </si>
  <si>
    <t>CLASIFICACIÓN</t>
  </si>
  <si>
    <t>CONVENIO</t>
  </si>
  <si>
    <t xml:space="preserve"> MUNICIPIO</t>
  </si>
  <si>
    <t>CONVENIANTE EJECUTOR</t>
  </si>
  <si>
    <t>SUBREGION</t>
  </si>
  <si>
    <t>OBJETO</t>
  </si>
  <si>
    <t>NOMBRE VIAS PRIORIZADAS</t>
  </si>
  <si>
    <t>PLAZO INICIAL</t>
  </si>
  <si>
    <t>ALCANCE (m)</t>
  </si>
  <si>
    <t>ALCANCE (m2)</t>
  </si>
  <si>
    <t>APORTE DEPARTAMENTO</t>
  </si>
  <si>
    <t>APORTE MUNICIPIO</t>
  </si>
  <si>
    <t>VALOR TOTAL</t>
  </si>
  <si>
    <t>ADICIONES RECURSOS DEPARTAMENTO</t>
  </si>
  <si>
    <t>ADICIONES RECURSOS MUNICIPIO</t>
  </si>
  <si>
    <t>VALOR TOTAL CON ADICIONES</t>
  </si>
  <si>
    <t>ESTADO CONVENIO</t>
  </si>
  <si>
    <t>ESTADO OBRA</t>
  </si>
  <si>
    <t>FECHA DE SUSCRIPCIÓN</t>
  </si>
  <si>
    <t>FECHA DE ACTA DE INICIO</t>
  </si>
  <si>
    <t>FECHA DE TERMINACIÓN</t>
  </si>
  <si>
    <t>PRÓRROGA (MESES)</t>
  </si>
  <si>
    <t>SUSPENSIÓN(MESES)</t>
  </si>
  <si>
    <t>NUEVA FECHA DE TERMINACIÓN</t>
  </si>
  <si>
    <t>DIAS RESTANTES</t>
  </si>
  <si>
    <t>LONGITUD EJECUTADA 2024(m)</t>
  </si>
  <si>
    <t>LONGITUD EJECUTADA 2025(m)</t>
  </si>
  <si>
    <t>LONGITUD EJECUTADA 2026(m)</t>
  </si>
  <si>
    <t>LONGITUD EJECUTADA 2027(m)</t>
  </si>
  <si>
    <t>GIRLESA BD MAKA</t>
  </si>
  <si>
    <t>LONGITUD EJECUTADA CUATRENIO(m)</t>
  </si>
  <si>
    <t>AREA EJECUTADA 2024 (m2)</t>
  </si>
  <si>
    <t>AREA EJECUTADA 2025 (m2)</t>
  </si>
  <si>
    <t>AREA EJECUTADA 2026 (m2)</t>
  </si>
  <si>
    <t>AREA EJECUTADA 2027 (m2)</t>
  </si>
  <si>
    <t>AREA EJECUTADA CUATRENIO (m2)</t>
  </si>
  <si>
    <t>LONGITUD EJECUTADA (m)</t>
  </si>
  <si>
    <t>AREA EJECUTADA (m2)</t>
  </si>
  <si>
    <t>VALOR TOTAL DESEMBOLSADO</t>
  </si>
  <si>
    <t>VALOR TOTAL AUTORIZADO DEPARTAMENTO</t>
  </si>
  <si>
    <t>% EJECUCIÓN FÍSICA</t>
  </si>
  <si>
    <t>% EJECUCIÓN FINANCIERA (RECURSOS DEPARTAMENTO)</t>
  </si>
  <si>
    <t>OBSERVACIONES</t>
  </si>
  <si>
    <t>ACTUALIZACIÓN PÓLIZAS</t>
  </si>
  <si>
    <t>FECHA ACTA DE LIQUIDACIÓN</t>
  </si>
  <si>
    <t>RUTA LIQUIDACIÓN</t>
  </si>
  <si>
    <t>ACTUACIÓN JURÍDICA</t>
  </si>
  <si>
    <t>FASE DE COBRO (SI APLICA)</t>
  </si>
  <si>
    <t>TIPO OBLIGACIÓN (SI APLICA)</t>
  </si>
  <si>
    <t>VALOR OBLIGACIÓN (SI APLICA)</t>
  </si>
  <si>
    <t>ESTADO EXPEDIENTE</t>
  </si>
  <si>
    <t>FECHA ACTA DE CIERRE DE EXPEDIENTE</t>
  </si>
  <si>
    <t>REGISTRO FOTOGRÁFICO_ZIP</t>
  </si>
  <si>
    <t>CORREO SUPERVISOR</t>
  </si>
  <si>
    <t>JUAN SEBASTIÁN VESGA MEDINA</t>
  </si>
  <si>
    <t>AEROPUERTOS</t>
  </si>
  <si>
    <t>RECURSOS</t>
  </si>
  <si>
    <t>NECOCLÍ</t>
  </si>
  <si>
    <t>URABÁ</t>
  </si>
  <si>
    <t>EL DEPARTAMENTO DE ANTIOQUIA COFINANCIA CON RECURSOS ECONÓMICOS AL MUNICIPIO DE NECOCLI EN EL URABA ANTIOQUEÑO, PARA QUE ESTE LLEVE A CABO LA CONSTRUCCION DE LA TERMINAL AEROPORTARIA DEL MUNICIPIO</t>
  </si>
  <si>
    <t xml:space="preserve">CONSTRUCCION DE VÍA QUE CONDUCE A LA TERMINAL AEROPORTARIA DE NECOCLÍ Y OBRAS COMPLEMENTARIAS EN LA TERMINAL
</t>
  </si>
  <si>
    <t>POR LIQUIDAR</t>
  </si>
  <si>
    <t>"Con el propósito de garantizar la culminación de las obras complementarias del Aeropuerto de Necoclí, el 11/12/2024 se suscribió una adición al convenio por valor de $563.975.788, financiada con aportes del Departamento por $548.975.788 y del Municipio por $15.000.000. Posteriormente, según reporte del 28/10/2024, el convenio alcanzó el 100% de ejecución, permitiendo la terminación de las obras complementarias previstas. No obstante, el municipio continúa adelantando con recursos propios las actividades necesarias para el mantenimiento de la terminal aérea y las adecuaciones de la pista de aterrizaje, con el fin de lograr la puesta en operación del aeropuerto. De acuerdo con el seguimiento realizado al 24 /07/2026, se evidenció que: El convenio perderá competencia para su liquidación el 10/12/2026. Existen recursos pendientes por autorizar por valor de $742.841.727.  La autorización de dichos recursos se encuentra condicionada a la entrada en operación del aeropuerto, requisito que debe ser acreditado por el Municipio. Resultado de gestión: Se logró la culminación del proyecto con un avance del 100% de ejecución, quedando pendiente la puesta en funcionamiento de la infraestructura aeroportuaria por parte del municipio para avanzar en el proceso de liquidación y autorización de los recursos disponibles. (Seg. 11/08/2026) cuenta con Acta de Terminación del  Informe de seguimiento # 9 - % Física 88.62% Recursos 100% Desembolso de recursos al IDEA. (Seg. 25/08/2026)  La supervisión pasó de Dalis Milena Hincapié Piedrahita al ingeniero JUAN SEBASTIÁN VESGA MEDINA, el 21/08/2026. Se tiene hasta el 10/12/2026 para liquidar  
"
"</t>
  </si>
  <si>
    <t>ACTA DE INICIO</t>
  </si>
  <si>
    <t>PENDIENTE</t>
  </si>
  <si>
    <t>NO APLICA</t>
  </si>
  <si>
    <t>VIGÍA DEL FUERTE</t>
  </si>
  <si>
    <t>AUNAR ESFUERZOS ENTRE EL DEPARTAMENTO DE ANTIOQUIA Y EL MUNICIPIO DE VIGÍA DEL FUERTE PARA LA EJECUCIÓN DE OBRAS COMPLEMENTARIAS DEL AEROPUERTO
EN EL MUNICIPIO ASOCIADO</t>
  </si>
  <si>
    <t>AEROPUERTO VIGÍA DEL FUERTE</t>
  </si>
  <si>
    <t xml:space="preserve">"(11/12/2024) adición por $419.055.213 por parte del Departamento y $200.000.000 del municipio para una adición de $619.055.213. (05/03/2025) TERMINÓ EL 12/01/2025. (15/07/2025) MISMO ESTADO. (08/10/2025) Se realizó la visita por parte del supervisor, se está a la espera del informe final de ejecucón de la obra por parte del municipio. (20/04/2026) mismo estado.(SEG. 24/07/2026) - Se tiene competencia para liquidar hasta el 12/07/2027,  Se deben recursos al municipio dado que no ha reportado los documentos para liquidar que den cuenta del 100% de ejecución de la obra, - Pendiente que el municipio subsane documentos para pago de interventoría, correo enviado el 11/06/2026. (Seg. 26/08/2026) La supervisión se reasigno de Dalis Milena Hincapié Piedrahita, al ingeniero Juan Sebastián Vesga Medina, el 26/08/2026, radicado 2026020032594. (Seg. 14/09/2026 </t>
  </si>
  <si>
    <t>YULIANA SANCHEZ MONTOYA</t>
  </si>
  <si>
    <t>RVT</t>
  </si>
  <si>
    <t>MATERIALES</t>
  </si>
  <si>
    <t>24AS111B2057</t>
  </si>
  <si>
    <t>BETANIA</t>
  </si>
  <si>
    <t>SUROESTE</t>
  </si>
  <si>
    <t>"APOYAR AL MUNICIPIO DE BETANIA, CON EL SUMINISTRO DE MATERIALES POR PARTE DEL DEPARTAMENTO DE ANTIOQUIA PARA LLEVAR A CABO EL MEJORAMIENTO DE VÍAS TERCIARIAS UBICADAS EN EL MUNICIPIO ASOCIADO"</t>
  </si>
  <si>
    <t>CORDILLERA-C-E- CORDILLERA
GUINTAR- LA CHUSCALITA
LA CEJITA-VALERIO
LA CEJITA-EL POPAL
MONTERREDONDO-PALO BLANCO
MONTERREDONDO-CHOCLINA</t>
  </si>
  <si>
    <t>06/10/2025 Prorroga aprobada 2 meses hasta el 8/12/2025 - (11/12/2025) Se prorrogó por 1 mes y 23 dias, hasta el 15/01/2026 - (18/12/2025) avance de obra 30% - (26/01/2026) Se prorrogó por 1 mes y 15 días, hasta el 3/03/2026
 10/03/2026 SUSPENDIDO por 1 mes y 20 dias, hasta el 24/04/2026 nueva fecha de terminación 29/04/2026 - (11/05/2026) Prórroga de 3 meses, nueva fecha de terminación 30/07/2026- sEG 03/08/2026 - Pendiente visita - el Acta de Terminación - para poder liquidar para la obra se contón con el aporte del Dpt. $350,000,000 del municipio $463,793,974 para un total de $813,793,974 , Física del 60% - Recursos del 62% Informe #12 del 8 de mayo de 2026. (Seg. 14/08/2026) Obra 70%, Recursos 100 %, Pendiente: Liquidar convenio de Materiales. (Seg. 08/09/2026) El presupuesto es hasta $350.00.000, se entrega $297.618.109 lo que equivale al 100% financiero, acorde a lo ejecutado en obra .</t>
  </si>
  <si>
    <t>JHOAN SEBASTIAN GONZALEZ SALAZAR</t>
  </si>
  <si>
    <t>24AS111B2055</t>
  </si>
  <si>
    <t>ZARAGOZA</t>
  </si>
  <si>
    <t>BAJO CAUCA</t>
  </si>
  <si>
    <t>"APOYAR AL MUNICIPIO DE ZARAGOZA, CON EL SUMINISTRO DE MATERIALES POR PARTE DEL DEPARTAMENTO DE ANTIOQUIA PARA LLEVAR A CABO EL MEJORAMIENTO DE VÍAS TERCIARIAS UBICADAS EN EL MUNICIPIO ASOCIADO"</t>
  </si>
  <si>
    <t>TRAMO 1 VÍA LOS CHIVOS-PATOS
TRAMO 2 VÍA LOS CHIVOS-PATOS</t>
  </si>
  <si>
    <t>DESISTIO</t>
  </si>
  <si>
    <t xml:space="preserve">(31/03/2025) no han solicitado materiales, municipio se encuentra en contratación. (12/05/2025) no han contratado. (23/05/2025) El municipio no presenta documentación de contratación, se le envia oficio No 2025030152687 de 14/05/2025. (10/06/2025)  se les envia informes, oficios correos, NO RESPONDEN . (27/06/2025) mismo estado. (29/07/2025) Se envia acta de terminación. (20/08/2025) no han firmado el acta de terminación. (Seg. 27/08/2026) Acta de Terminación del 17/09/2025. Pendiente liquidación.
</t>
  </si>
  <si>
    <t>ROMAN DARIO FRANCO GRANDA</t>
  </si>
  <si>
    <t>24AS111B2021</t>
  </si>
  <si>
    <t>MACEO</t>
  </si>
  <si>
    <t>MAGDALENA MEDIO</t>
  </si>
  <si>
    <t>"APOYAR AL MUNICIPIO DE MACEO, CON EL SUMINISTRO DE MATERIALES POR PARTE DEL DEPARTAMENTO DE ANTIOQUIA PARA LLEVAR A CABO EL MEJORAMIENTO DE VÍAS TERCIARIAS UBICADAS EN EL MUNICIPIO ASOCIADO"</t>
  </si>
  <si>
    <t xml:space="preserve">VÍA SAN PEDRO
VEREDA TRES PIEDRAS (LA CRISTALINA)
LA FLORESTA SAN MARTIN
TRES PIEDRAS-SAN CIPRIANO
ALTO DE DOLORES-SAN ANTONIO
TRES PIEDRAS-LA LONDRA-EL INGENIO
SAN LAUREANO - SAN LUCAS- SAN CIPRIANO
</t>
  </si>
  <si>
    <t>(10/06/2025) se les envío todo el material, terminan contra liquidación,/ 20/06/2025 Avance de obra 50%, pendiente visita a campo por parte del supervisor /20/08/2025 avance de obra 90% /05/02/2026  Avance de obra 92%. (Seg.13/08/2025) Acta de Terminación del 11/06/2025, obra 95%, recursos 100%</t>
  </si>
  <si>
    <t>24AS111B2030</t>
  </si>
  <si>
    <t>PUERTO TRIUNFO</t>
  </si>
  <si>
    <t>"APOYAR AL MUNICIPIO DE PUERTO TRIUNFO, CON EL SUMINISTRO DE MATERIALES POR PARTE DEL DEPARTAMENTO DE ANTIOQUIA PARA LLEVAR A CABO EL MEJORAMIENTO DE VÍAS TERCIARIAS UBICADAS EN EL MUNICIPIO ASOCIADO"</t>
  </si>
  <si>
    <t xml:space="preserve">ARBOLETES Y HORIZONTES, CORREGIMIENTO DE PUERTO PERALES
</t>
  </si>
  <si>
    <t>(27/08/2025) terminado100%, por liquidar. (Seg. 13/08/2026) Acta de Terminación del 22/08/2025, cuenta con el Informe de visita Infraestructura y/o Servicios públicos del 27/04/2026 Pendiente de Liquidar. (Seg. 08/09/2026) El presupuesto es hasta $350.00.000, se entrega $339.490.134, lo que equivale al 100% financiero, acorde a lo ejecutado en obra .</t>
  </si>
  <si>
    <t>24AS111B2017</t>
  </si>
  <si>
    <t>VEGACHÍ</t>
  </si>
  <si>
    <t>NORDESTE</t>
  </si>
  <si>
    <t>"APOYAR AL MUNICIPIO DE VEGACHÍ, CON EL SUMINISTRO DE MATERIALES POR PARTE DEL DEPARTAMENTO DE ANTIOQUIA PARA LLEVAR A CABO EL MEJORAMIENTO DE VÍAS TERCIARIAS UBICADAS EN EL MUNICIPIO ASOCIADO"</t>
  </si>
  <si>
    <t>SEIRRA BAJA
LA GALLINERA-EL CASCAJO</t>
  </si>
  <si>
    <t>15/08/2025 solo han solicitado cemento equivalente al 9,75% del total de los materiales, reportan avance de obra del 40%, están pendientes de solicitar prorroga / 17/09/2025 se les envio la Última entrega de materiales, 70% avance de obra, pendiente visita a campo para verificar obra / 29/09/2025 avance de obra 80% . (Seg 13/08/2026) Acta de Terminación del 10/09/2025, Informe Seguimiento # 2 del 04/03/2026 obra y recursos del 100%. (Seg. 27/08/2026) Continúan los pendientes.(Seg. 08/09/2026) El presupuesto es hasta $350.00.000, se entrega $337.963.528, lo que equivale al 100% financiero, acorde a lo ejecutado en obra .</t>
  </si>
  <si>
    <t>25AS111B2069</t>
  </si>
  <si>
    <t>YALÍ</t>
  </si>
  <si>
    <t>"APOYAR AL MUNICIPIO DE YALÍ, CON EL SUMINISTRO DE MATERIALES POR PARTE DEL DEPARTAMENTO DE ANTIOQUIA PARA LLEVAR A CABO EL MEJORAMIENTO DE VÍAS TERCIARIAS UBICADAS EN EL MUNICIPIO ASOCIADO"</t>
  </si>
  <si>
    <t>YALÍ-VEREDA VILLANITA
SAN MAURICIO-FINCA SAN MAURICIO
EL ZANCUDO
HATILLO-CASAMORA
YALÍ-VEREDA HATILLO
LA UNIÓN-BELGICA
PUERTO ESTAFA-LA MARIANA</t>
  </si>
  <si>
    <t>(24/04/2026) Avance de obra 85%. (Seg 13/08/2026) Acta de Terminación del 13/08/2025 - Física del 85% , Recursos del 100%.  Pendiente Liquidación . (Seg. 27/08/2026) Sigue pendiente la liquidación.(Seg. 08/09/2026) El presupuesto es hasta $350.00.000, se entrega $274.757.553 lo que equivale al 100% financiero, acorde a lo ejecutado en obra .</t>
  </si>
  <si>
    <t>24AS111B2031</t>
  </si>
  <si>
    <t>YOLOMBÓ</t>
  </si>
  <si>
    <t>"APOYAR AL MUNICIPIO DE YOLOMBÓ, CON EL SUMINISTRO DE MATERIALES POR PARTE DEL DEPARTAMENTO DE ANTIOQUIA PARA LLEVAR A CABO EL MEJORAMIENTO DE VÍAS TERCIARIAS UBICADAS EN EL MUNICIPIO ASOCIADO"</t>
  </si>
  <si>
    <t>LA CHAZA-LOS ALPES
LA CRUZ
CACHUMBAL
PANTANILLO
PARAJE LA MARIA-EL CAIRO
VÍA LA FLORESTA-LA CEIBA
LAS MARGARITAS-BARBASCAL
YOLOMBÓ- CUATRO ESQUINAL
PARAJE LA CHAZA EL COMINO
PARAJE LA CHAZA LAS FRIAS
EL HORMIGUERO-BAREÑO
VÍA TRONCAL NORDESTE
ALTO DE MENDEZ-LOS ACEITES
VÍA SANTA ANA-BELGICA</t>
  </si>
  <si>
    <t>(30/09/2025) prorrogó por 3 meses mas hasta el 29/12/2025_ (24/04/2026) obra 70%, por liquidar_ (05/06/2026) pendiente visita a campo para liquidar, obra 80%. (Seg 13/08/2026) Acta de Terminación del 29/12/2025, Obra 92% y Recursos 100%. (Seg. 08/09/2026) El presupuesto es hasta $700.00.000, se entrega $651.511.146 lo que equivale al 100% financiero, acorde a lo ejecutado en obra .</t>
  </si>
  <si>
    <t>RVU</t>
  </si>
  <si>
    <t>CONCEPCIÓN</t>
  </si>
  <si>
    <t>ORIENTE</t>
  </si>
  <si>
    <t>ARTICULAR Y COORDINAR ESFUERZOS ENTRE EL DEPARTAMENTO DE
ANTIOQUIA Y EL MUNICIPIO DE CONCEPCIÓN PARA EL MEJORAMIENTO DE LA VÍA LOS
POMOS, EN EL MUNICIPIO DE CONCEPCIÓN, DEPARTAMENTO DE ANTIOQUIA.</t>
  </si>
  <si>
    <t xml:space="preserve">via los pomos </t>
  </si>
  <si>
    <t>(11/07/2025) recursos 100% en el IDEA, obra 40% _ (13/08/2025) obra 71%, termina en el tiempo estipulado -  (25/09/2025) terminado 100%, por liquidar. (Seg.13/08/2026) Obra y Recursos 100%</t>
  </si>
  <si>
    <t>NATALIA GÓMEZ ISAZA</t>
  </si>
  <si>
    <t>24AS111B2026</t>
  </si>
  <si>
    <t>ANZA</t>
  </si>
  <si>
    <t>OCCIDENTE</t>
  </si>
  <si>
    <t>"APOYAR AL MUNICIPIO DE ANZÁ, CON EL SUMINISTRO DE MATERIALES POR PARTE DEL DEPARTAMENTO DE ANTIOQUIA PARA LLEVAR A CABO EL MEJORAMIENTO DE VÍAS TERCIARIAS UBICADAS EN EL MUNICIPIO ASOCIADO"</t>
  </si>
  <si>
    <t>12/08/2025 prórroga por 3 meses, termina el 03/11/2025 - 18/12/2025 avace de obra 90% - 10/04/2026 Pendiente visita a campo - 04/06/2026 Sigue pendiente vista a campo, avance de obra 95% - (Seg .03/08/2026 Continua pendiente la visita de a campo. Seg. 14/08/2026 OBra del 90%, Recursos del 100% pendiente documentación, visita y liquidar.  (Seg. 08/09/2026) El presupuesto es hasta $350.00.000, se entrega $322.248.627 lo que equivale al 100% financiero, acorde a lo ejecutado en obra .</t>
  </si>
  <si>
    <t>24AS111B2027</t>
  </si>
  <si>
    <t>HELICONIA</t>
  </si>
  <si>
    <t>"APOYAR AL MUNICIPIO DE HELICONIA, CON EL SUMINISTRO DE MATERIALES POR PARTE DEL DEPARTAMENTO DE ANTIOQUIA PARA LLEVAR A CABO EL MEJORAMIENTO DE VÍAS TERCIARIAS UBICADAS EN EL MUNICIPIO ASOCIADO"</t>
  </si>
  <si>
    <t>ALTO DEL CORRAL
PUEBLITO
HATILLO</t>
  </si>
  <si>
    <t>Visita: No, Pendiente por liquidar. (Seg. 27/08/2026) Cuenta en Mesa de Ayuda con Acta de Terminación del 03/12/2025, pendiente liquidar . (Seg. 08/09/2026) El presupuesto es hasta $350.00.000, se entrega $320,144,828  lo que equivale al 100% financiero, acorde a lo ejecutado en obra .</t>
  </si>
  <si>
    <t>24AS111B1732</t>
  </si>
  <si>
    <t>OLAYA</t>
  </si>
  <si>
    <t>APOYAR AL MUNICIPIO DE OLAYA, CON EL SUMINISTRO DE MATERIALES POR PARTE DEL DEPARTAMENTO DE ANTIOQUIA PARA LLEVAR A CABO EL MEJORAMIENTO DE VÍAS TERCIARIAS UBICADAS EN
EL MUNICIPIO ASOCIADO</t>
  </si>
  <si>
    <t>SUCRE - VDA EL GUAYABO
OLAYA - VDA EL PENCAL
BADAJOZ- EL PALMAR 
LLANADAS-LOPERA</t>
  </si>
  <si>
    <t xml:space="preserve">(09/05/2025) dificultad para terminar obra por ola invernal. (10/06/2025) pendiente terminar las cunetas, avance de obra 98%. (03/07/2025) el 17 de julio se realizará visita final para verificar la ejecución del 100%. (30/09/2025) terminado 100%, por liquidar. (Seg. 03/08/2026) Con Acta de Terminación del 30/12/2024 - Por liquidar. (Seg. 27/08/2026) Continúa con el mismos pendientes.
</t>
  </si>
  <si>
    <t>24AS111B2032</t>
  </si>
  <si>
    <t>SAN JERÓNIMO</t>
  </si>
  <si>
    <t>"APOYAR AL MUNICIPIO DE SAN JERÓNIMO, CON EL SUMINISTRO DE MATERIALES POR PARTE DEL DEPARTAMENTO DE ANTIOQUIA PARA LLEVAR A CABO EL MEJORAMIENTO DE VÍAS TERCIARIAS UBICADAS EN EL MUNICIPIO ASOCIADO"</t>
  </si>
  <si>
    <t>LOS CEDROS
BUENOS AIRES PARTE BAJA
CALVARIO
CABUYAL
VELIGUARÍN
CIENAGA
PESQUINAL</t>
  </si>
  <si>
    <t>(16/05/2025) prórroga por 2 meses hasta el 22/07/2025. (27/06/2025) Autorización de último pedido. (03/07/2025) pendiente visita a campo para verificar obra, avance de obra 80%. (30/09/2025) TERMINADO 100%, por liquidar- (Seg. 03/08/2026) con Acta de Terminación del 22/07/2025 - Por Liquidar. (Seg. 08/09/2026) El presupuesto es hasta $175.00.000, se entrega $326.118.994 lo que equivale al 100% financiero, acorde a lo ejecutado en obra .</t>
  </si>
  <si>
    <t>24AS111B2034</t>
  </si>
  <si>
    <t>SANTA FE DE ANTIOQUIA</t>
  </si>
  <si>
    <t>"APOYAR AL MUNICIPIO DE SANTA FE DE ANTIOQUIA, CON EL SUMINISTRO DE MATERIALES POR PARTE DEL DEPARTAMENTO DE ANTIOQUIA PARA LLEVAR A CABO EL MEJORAMIENTO DE VÍAS TERCIARIAS UBICADAS EN EL MUNICIPIO ASOCIADO"</t>
  </si>
  <si>
    <t>SABANALES
LA TOLDA
LA MILAGROSA
EL CHURIMBO
LAS AZULES
COLORADAS
SAN CARLOS EL MORRO
RAMAL SAN CARLOS
CATIVO
EL ESPINAL
EL RODEO</t>
  </si>
  <si>
    <t>/27/06/2025) Autorización de ultimo pedido. (03/07/2025) pendiente visita a campo para verificar obra. (avance de obra 60%). TERMINADO 100%, por liquidar - (Seg. 03/08/2026) con Acta de Terminación del 22/07/2025 - (Seg. 27/08/2026) Por liquidar. (Seg. 08/09/2026) El presupuesto es hasta $350.00.000, se entrega $321.544.067 lo que equivale al 100% financiero, acorde a lo ejecutado en obra .</t>
  </si>
  <si>
    <t>SANDRA ELENA MONTOYA ROJAS</t>
  </si>
  <si>
    <t>24AS111B2059</t>
  </si>
  <si>
    <t>FREDONIA</t>
  </si>
  <si>
    <t>"APOYAR AL MUNICIPIO DE FREDONIA, CON EL SUMINISTRO DE MATERIALES POR PARTE DEL DEPARTAMENTO DE ANTIOQUIA PARA LLEVAR A CABO EL MEJORAMIENTO DE VÍAS TERCIARIAS UBICADAS EN EL MUNICIPIO ASOCIADO"</t>
  </si>
  <si>
    <t>EL CARRETERO PARTE ALTA
SABANALES-EL PLAN
CORDILLERA
EL PORVENIR
EL CALVARIO</t>
  </si>
  <si>
    <t>(20/08/2025) prórroga #1 por 2 meses, nueva fecha de terminación el 22/10/2025 (28/04/2026) terminado 100%, por liquidar (Seg. 20/08/2026) En Mesa de Ayuda tiene Informe de Seguimiento # 11 y Acta de Terminación ambas del 22/10/2025, obra del 81%, Recursos del 100%. Pendiente de informe del Mpio, para liquidar. (Seg. 08/09/2026) El presupuesto es hasta $350.00.000, se entrega $221.906.450 lo que equivale al 100% financiero, acorde a lo ejecutado en obra .</t>
  </si>
  <si>
    <t>24AS111B2022</t>
  </si>
  <si>
    <t>MONTEBELLO</t>
  </si>
  <si>
    <t>"APOYAR AL MUNICIPIO DE MONTEBELLO, CON EL SUMINISTRO DE MATERIALES POR PARTE DEL DEPARTAMENTO DE ANTIOQUIA PARA LLEVAR A CABO EL MEJORAMIENTO DE VÍAS TERCIARIAS UBICADAS EN EL MUNICIPIO ASOCIADO"</t>
  </si>
  <si>
    <t>LOS PINOS
LA PEÑA-LOS PINOS
LOS PINOS-LA TRINIDAD
EL ENCENILLO-LA CAMELIA T1
EL ENCENILLO-LA CAMELIA T2</t>
  </si>
  <si>
    <t xml:space="preserve">15/05/2025 no han iniciado obra, argumentan el dia 14 de mayo, que por la ola invernal no han podido iniciar, se les envia correo reiterando que si las vias a intervenir no estan afectadas por la calamidad, este debe ser iniciado ya que el convenio no tendrá prorroga. (17/09/2025)  PRóRROGA por 2 meses, nueva fecha de terminación 15/11/2025 13/11/2025 Se realizó visita técnica.
18/11/2025 se realizó acta de terminación. (25/02/2025) primera solicitud de documentos para liquidar. (Seg. 08/09/2026) El presupuesto es hasta $350.00.000, se entrega $323.699.646, lo que equivale al 100% financiero, acorde a lo ejecutado en obra .
</t>
  </si>
  <si>
    <t>24AS111B2033</t>
  </si>
  <si>
    <t>SANTA BARBARA</t>
  </si>
  <si>
    <t>"APOYAR AL MUNICIPIO DE SANTA BÁRBARA, CON EL SUMINISTRO DE MATERIALES POR PARTE DEL DEPARTAMENTO DE ANTIOQUIA PARA LLEVAR A CABO EL MEJORAMIENTO DE VÍAS TERCIARIAS UBICADAS EN EL MUNICIPIO ASOCIADO"</t>
  </si>
  <si>
    <t>VÍA VEREDA LA ESPERANZA
VÍA QUIEBRA-CORDONCILLO</t>
  </si>
  <si>
    <t>(11/07/2025) APROBADA prorroga por 3 meses hasta el 17/10/2025 acta de terminación . (02/09/2025) se realizó visita técnica. (17/10/2025) se realizó acta de terminación. (25/02/2025) primera solicitud de documentos para liquidar. (Seg. 27/08/2026) Continua pendiente la liquidación.
(Seg. 08/09/2026) El presupuesto es hasta $350.00.000, se entrega $286.544.246 lo que equivale al 100% financiero, acorde a lo ejecutado en obra .</t>
  </si>
  <si>
    <t>24AS111B2051</t>
  </si>
  <si>
    <t>TARSO</t>
  </si>
  <si>
    <t>"APOYAR AL MUNICIPIO DE TARSO, CON EL SUMINISTRO DE MATERIALES POR PARTE DEL DEPARTAMENTO DE ANTIOQUIA PARA LLEVAR A CABO EL MEJORAMIENTO DE VÍAS TERCIARIAS UBICADAS EN EL MUNICIPIO ASOCIADO"</t>
  </si>
  <si>
    <t>DIVINO NIÑO
EL BIZCOCHO
LOS MOLINA</t>
  </si>
  <si>
    <t>(11/07/2025) se autorizó ultima entrega de materiales, 70 ejecución de obra. (13/08/2025) Se entregó todo el material, obra 100%.  (Seg. 27/08/2026) pendiente liquidar. La supervisión  fue trasladada de la profesional Margarita Rosa Lopera Duque a la profesional Sandra Elena Montoya Rojas, mediante delegación No. 2026020031425 del 19 de agosto de 2026. (Seg. 08/09/2026) El presupuesto es hasta $350.00.000, se entrega $151.700.043, lo que equivale al 100% financiero, acorde a lo ejecutado en obra .</t>
  </si>
  <si>
    <t>JULIANA MEJÍA BRAVO</t>
  </si>
  <si>
    <t>24AS111B2050</t>
  </si>
  <si>
    <t>CAMPAMENTO</t>
  </si>
  <si>
    <t>NORTE</t>
  </si>
  <si>
    <t>"APOYAR AL MUNICIPIO DE CAMPAMENTO, CON EL SUMINISTRO DE MATERIALES POR PARTE DEL DEPARTAMENTO DE ANTIOQUIA PARA LLEVAR A CABO EL MEJORAMIENTO DE VÍAS TERCIARIAS UBICADAS EN EL MUNICIPIO ASOCIADO"</t>
  </si>
  <si>
    <t>VÍA EL MAZANILLO-EL BRAZO
PLAN DE LA ROSA (VÍA ANORÍ, SAN ROQUE)
CAMPAMENO-ALTO MANZANILLO
RIO SAN JOSÉ-LA POLKA
EL DIEZ-NORIZAL
NORIZAL-RIO SAN JOSÉ</t>
  </si>
  <si>
    <t>(30/01/2026) avance de obra 80%, por liquidar (24/04/2026) Pendiente visita a campo para verificar ejecución de obra (26/05/2026) pendiente de verificar obra (Seg. 01/08/2026)  La obra finalizó en diciembre de 2025_Pendiente de asignación de abogado para la liquidación _Se envío información el 19/07/2026. (20/08/2026) Acta de Terminación del 22/12/2025, visita del supervisor del 11/02/2026, se envío solicitud de documentos para liquidación el 24/04/2026,   se está a la espera de respuesta del Mpio.  (Seg. 08/09/2026) El presupuesto es hasta $350.00.000, se entrega $308.392.335 lo que equivale al 100% financiero, acorde a lo ejecutado en obra .</t>
  </si>
  <si>
    <t>24AS111B1728</t>
  </si>
  <si>
    <t>CIUDAD BOLIVAR</t>
  </si>
  <si>
    <t>APOYAR AL MUNICIPIO CIUDAD BOLIVAR, CON EL SUMINISTRO DE MATERIALES POR PARTE DEL DEPARTAMENTO DE ANTIOQUIA PARA LLEVAR A CABO EL MEJORAMIENTO DE VÍAS TERCIARIAS
UBICADAS EN EL MUNICIPIO ASOCIADOUBICADAS EN EL MUNICIPIO ASOCIADO</t>
  </si>
  <si>
    <t>SAMARIA - EL AGUILA - ALFONSO LOPEZ   
LA LINDA EL DOS                                          
LA ANGOSURA PARTE MEDIA                      
EL MANZANILLO 
ALTO DE LOS JARAMILLOS 
LOS CORRALES BUENA VISTA</t>
  </si>
  <si>
    <r>
      <rPr>
        <rFont val="Calibri"/>
        <color rgb="FF000000"/>
        <sz val="11.0"/>
      </rPr>
      <t xml:space="preserve"> Se entrega el 100% de materiales - POR LIQUIDAR TERMINADO 100% - </t>
    </r>
    <r>
      <rPr>
        <rFont val="Calibri"/>
        <color rgb="FF000000"/>
        <sz val="11.0"/>
      </rPr>
      <t xml:space="preserve"> Seg. 24/07/2026 por liquidar (Seg. 20/08/2026) Informe Seguimiento # 6 del 30/12/2024, obra 53.85%, recursos 100%. Acta de Terminación del 30/12/2024</t>
    </r>
  </si>
  <si>
    <t>24AS111B2025</t>
  </si>
  <si>
    <t>COPACABANA</t>
  </si>
  <si>
    <t>VALLE DE ABURRÁ</t>
  </si>
  <si>
    <t>"APOYAR AL MUNICIPIO DE COPACABANA, CON EL SUMINISTRO DE MATERIALES POR PARTE DEL DEPARTAMENTO DE ANTIOQUIA PARA LLEVAR A CABO EL MEJORAMIENTO DE VÍAS TERCIARIAS UBICADAS EN EL MUNICIPIO ASOCIADO"UBICADAS EN EL MUNICIPIO ASOCIADO</t>
  </si>
  <si>
    <t xml:space="preserve">PARAJE-SALINAS
VÍA EL CALLEJÓN
VÍA ZARZAL LA LUZ-AUTOPISTA
VÍA ESCUELA-EL MORRO
           </t>
  </si>
  <si>
    <t>(13/08/2025)prórroga por 98 dias, y modificación del valor del convenio por $379.400.000 y reducción de alcance a 1,084 km - (27/08/2025) Se aprobó prorroga por 96 dias, termina el 30/11/2025 (24/09/2025) obra 40% (08/10/2025) Esta en CIC para modificación de valor y alcance solicitaron segundo pedido de materiales. (04/12/2025) TERMINADO en 61,29% ejecución fisica y 61,29% financiera (24/04/2026)  Por liquidar  (Seg .20/08/2026) Se aclara lo siguiente: el convenio inicial tenía un valor de $598.500.000) para una longitud de 1.710 metros, pero en base al acta de acuerdo del 4/11/2025 se acordó una nueva longitud de 1.084 mts con un valor de $350.598.661 de los cuales solo se ha autorizado $214.890.797 , según informe de Seguimiento # 11  del 30/11/2025. (Seg. 08/09/2026) El presupuesto es hasta $350.598.661, se entrega $214.890.787, lo que equivale al 100% financiero, acorde a lo ejecutado en obra .</t>
  </si>
  <si>
    <t>24AS111B2043</t>
  </si>
  <si>
    <t>GOMEZ PLATA</t>
  </si>
  <si>
    <t>"APOYAR AL MUNICIPIO DE GOMEZ PLATA, CON EL SUMINISTRO DE MATERIALES POR PARTE DEL DEPARTAMENTO DE ANTIOQUIA PARA LLEVAR A CABO EL MEJORAMIENTO DE VÍAS TERCIARIAS UBICADAS EN EL MUNICIPIO ASOCIADO"</t>
  </si>
  <si>
    <t>EL SALTO-LA CONTRATA
CHILIMACO
VEGABOTERO</t>
  </si>
  <si>
    <t>(29/08/2025) prórroga aprobada por 3 meses, nueva fecha de terminación 29/11/2025 - TERMINADO, por liquidar (Seg. 20/08/2026) Acta de Terminación del 29/11/2025. Pendiente de Liquidación . (Seg. 08/09/2026) El presupuesto es hasta $350.00.000, se entrega $323.362.016, lo que equivale al 100% financiero, acorde a lo ejecutado en obra .</t>
  </si>
  <si>
    <t xml:space="preserve">JULIANA GÓMEZ ECHAVARRÍA </t>
  </si>
  <si>
    <t>24AS111B1737</t>
  </si>
  <si>
    <t>SAN FRANCISCO</t>
  </si>
  <si>
    <t>APOYAR AL MUNICIPIO DE SAN FRANCISCO, CON EL SUMINISTRO DE MATERIALES POR PARTE DEL DEPARTAMENTO DE ANTIOQUIA PARA LLEVAR A CABO EL MEJORAMIENTO DE VÍAS TERCIARIAS
UBICADAS EN EL MUNICIPIO ASOCIADO</t>
  </si>
  <si>
    <t>ZONA URBANA-VEREDA LA VENTANA</t>
  </si>
  <si>
    <t>(29/01/2025) Terminado 100%, pendiente por liquidar  (Seg. 14/08/2026) Obra y Recursos del 100%, Pago pendiente: No, Documentos pendiente: Sí, para liquidación, Visita: No, Pendiente por liquidar.</t>
  </si>
  <si>
    <t>24AS111B1776</t>
  </si>
  <si>
    <t>ALEJANDRÍA</t>
  </si>
  <si>
    <t>APOYAR AL MUNICIPIO DE ALEJANDRIA, CON EL SUMINISTRO DE MATERIALES POR PARTE DEL DEPARTAMENTO DE ANTIOQUIA PARA LLEVAR A CABO EL MEJORAMIENTO DE VÍAS TERCIARIAS
UBICADAS EN EL MUNICIPIO ASOCIADO</t>
  </si>
  <si>
    <t>VÍA SAN LORENZO
VIA CHIRRILLAS – CAÑADAHONDA
EL POPO - EL RESPALDO
VIA MONTELORO
VÍA ESCUELA SAN MIGUEL
VÍA ALEJANDRÍA-EL CARBÓN - ALTO DE BANDERAS
VÍA A LA PAVA
VIA PIEDRAS ABAJO-CANCHA</t>
  </si>
  <si>
    <t>29/01/2025 Terminado 100% pendiente por liquidar</t>
  </si>
  <si>
    <t>JULIANA GÓMEZ ECHAVARRÍA</t>
  </si>
  <si>
    <t>24AS111B2011</t>
  </si>
  <si>
    <t>GRANADA</t>
  </si>
  <si>
    <t>"APOYAR AL MUNICIPIO DE GRANADA, CON EL SUMINISTRO DE MATERIALES POR PARTE DEL DEPARTAMENTO DE ANTIOQUIA PARA LLEVAR A CABO EL MEJORAMIENTO DE VÍAS TERCIARIAS UBICADAS EN EL MUNICIPIO ASOCIADO"</t>
  </si>
  <si>
    <t>RAMAL ESCUELA EL EDÉN HASTA EL CRUCERO
RAMAL VÍA GALILIA-LA CASCADA
RAMAL LA MARIA- ALTO DE SAN MATIAS
RAMAL QUEBRADONA-GRUPO COMUNITARIO
RAMAL TAFETANES-SAN MIGUEL
RAMAL VEREDA LA AURORA</t>
  </si>
  <si>
    <t>(19/11/2025) se entregó todo el material, (18/12/2025) avance de obra 40%, (05/02/2026) avance de obra 50%, (24/04/2026) obra 95%, pendiente informe final y visita a campo, TERMINADO 100%, por liquidar (Seg. 14/08/2026) Obra y Recursos 100%, Pago pendiente: No. Pendiente: Informe final y documentos del Municpio para liquidación. (Seg. 08/09/2026) El presupuesto es hasta $175.00.000, se entrega $156.241.835 lo que equivale al 100% financiero, acorde a lo ejecutado en obra .</t>
  </si>
  <si>
    <t>24AS111B1726</t>
  </si>
  <si>
    <t>GUARNE</t>
  </si>
  <si>
    <t>APOYAR AL MUNICIPIO GUARNE, CON EL SUMINISTRO DE MATERIALES POR PARTE DEL DEPARTAMENTO DE ANTIOQUIA PARA LLEVAR A CABO EL MEJORAMIENTO DE VÍAS TERCIARIAS UBICADAS EN EL MUNICIPIO ASOCIADO</t>
  </si>
  <si>
    <t>AUTOPISTA -EL MOLINO
ANILLO VIAL LA CLARITA- GUAPANTE
BELLAVISTA-CHAPARRAL
LA HONDA BARRO BLANCO (TRAMO 1)
LA HONDA BARRO BLANCO (TRAMO 2)
VÍA LAS ESQUINELA RATÓN PELAO
AUTOPISTA- SIERRA LINDA- LA PASTORCITA
ANILLO VIAL SAN IGNACIO (TRAMO 1)
ANILLO VIAL SAN IGNACIO (TRAMO 2)</t>
  </si>
  <si>
    <t xml:space="preserve">(29/01/2025) Terminado 100% (Seg. 14/08/2026) Obra y Recursos 100%, Pago pendiente: No, Documentos pendiente: No
Visita: No, Pendiente por liquidar.
</t>
  </si>
  <si>
    <t>24AS111B1727</t>
  </si>
  <si>
    <t>MARINILLA</t>
  </si>
  <si>
    <t>APOYAR AL MUNICIPIO MARINILLA, CON EL SUMINISTRO DE MATERIALES POR PARTE DEL DEPARTAMENTO DE ANTIOQUIA PARA LLEVAR A CABO EL MEJORAMIENTO DE VÍAS TERCIARIAS
UBICADAS EN EL MUNICIPIO ASOCIADO</t>
  </si>
  <si>
    <t>VÍA LA PEÑA - EL ROSARIO - EL PORVENIR
VÍA ALTO DE CHOCHO – MONTAÑITA
VÍA MARINILLA NUEVO PEÑOL -ALTO DEL MERCADO- SANTA CRUZ ALTO EL CHOCHO VDA SANTA CRUZ
VÍA MARINILLA NUEVO PEÑOL                    EL ROSARIO LA PEÑA
VÍA MARINILLA NUEVO PEÑOL -SALTO ABAJO EL PORVENIR VÍA NUEVO PEÑOL
VÍA MARINILLA NUEVO PEÑOL -ALTO DEL MERCADO- SANTA CRUZ ALTO EL CHOCHO VDA ALTO DEL MERCADO</t>
  </si>
  <si>
    <t>LIQUIDADO</t>
  </si>
  <si>
    <t>29/01/2025 Terminado 100%,  (Seg. 14/08/2026) Liquidación Bilateral del 26/06/2026, Obra 100% y Recursos 95.91%</t>
  </si>
  <si>
    <t>24AS111B2056</t>
  </si>
  <si>
    <t xml:space="preserve">VÍA MARINILLA NUEVO PEÑOL-SALTO ABAHO EL PORVENIR
VÍA ALTO DEL MERCADO EL SOCORRO
VÍA DON DIEGO RIONEGRO MARINILLA
VEREDA LA PRIMAVERA
ALTO DE BELÉN-AUTOPISTA MEDELLIN BOGOTÁ
VÍA CHORROMAYO
VÍA SALTO ARRIBA-SAN VICENTE
VÍA MONTAÑITA-LOS ALPES
</t>
  </si>
  <si>
    <t>(03/07/2025) Se les envío todo el material, avance de obra 70%  Aporte del Departamento $349,998,338 Aporte del municipio $847,342,338 para un total de  $1,197,340,676, (29/07/2025) a la espera que envien el Acta de Terminación firmada -  (Seg. 02/08/2026) - Ejecución de la obra del 100%  _  Acta de Terminación del 28/05/2025 _ Pendiente de visita para liquidiar .  (Seg. 14/08/2026) Obra Y Recursos 100%, Pago pendiente: No, Documentos pendiente: No, Visita: No, Pendiente por liquidar. (Seg. 08/09/2026) El presupuesto es hasta $350.00.000, se entrega $321.353.862, lo que equivale al 100% financiero, acorde a lo ejecutado en obra .</t>
  </si>
  <si>
    <t>24AS111B2036</t>
  </si>
  <si>
    <t>RIONEGRO</t>
  </si>
  <si>
    <t>"APOYAR AL MUNICIPIO DE RIONEGRO, CON EL SUMINISTRO DE MATERIALES POR PARTE DEL DEPARTAMENTO DE ANTIOQUIA PARA LLEVAR A CABO EL MEJORAMIENTO DE VÍAS TERCIARIAS UBICADAS EN EL MUNICIPIO ASOCIADO"UBICADAS EN EL MUNICIPIO ASOCIADO</t>
  </si>
  <si>
    <t>DESISTIO
25/04/2025 acta de terminación anticipada firmada el 25/04/2025
POR LIQUIDAR</t>
  </si>
  <si>
    <t>24AS111B2035</t>
  </si>
  <si>
    <t>SAN LUIS</t>
  </si>
  <si>
    <t>"APOYAR AL MUNICIPIO DE SAN LUIS, CON EL SUMINISTRO DE MATERIALES POR PARTE DEL DEPARTAMENTO DE ANTIOQUIA PARA LLEVAR A CABO EL MEJORAMIENTO DE VÍAS TERCIARIAS UBICADAS EN EL MUNICIPIO ASOCIADO"</t>
  </si>
  <si>
    <t xml:space="preserve">VÍA SAN LUIS-EL OLIVO
VIA LA HABANA
VIA SAN LUIS-CUBA
EL POPAL
</t>
  </si>
  <si>
    <t>24/04/2026 avance de obra 95%, pendiente vista a campo para verificar ejecución y obra y poder liquidar. (Seg. 08/09/2026) El presupuesto es hasta $350.00.000, se entrega $227.519.645 lo que equivale al 100% financiero, acorde a lo ejecutado en obra .</t>
  </si>
  <si>
    <t>JUAN PABLO DELGADO JIMENEZ</t>
  </si>
  <si>
    <t>24AS111B2060</t>
  </si>
  <si>
    <t>CAÑASGORDAS</t>
  </si>
  <si>
    <t>"APOYAR AL MUNICIPIO DE CAÑASGORDAS, CON EL SUMINISTRO DE MATERIALES POR PARTE DEL DEPARTAMENTO DE ANTIOQUIA PARA LLEVAR A CABO EL MEJORAMIENTO DE VÍAS TERCIARIAS UBICADAS EN EL MUNICIPIO ASOCIADO"</t>
  </si>
  <si>
    <t>MACANAL
LA ESTRELLA
LA LLORONA
MOROTO
PASO ARRIBA
LA AGUADA
LA MANGA
SAN PASCUAL
LA MALENA
LA BALSA
EL CANELO</t>
  </si>
  <si>
    <t>(10/06/2025) Se les envío todo el material 100%, reportan avance de obra del 50% - (11/07/2025) municipio reporta avance de obra del 75% - (30/07/2025)obra 95% -  por liqudiar  (Seg. 05/08/2026)  tiene designación del supervisor y Acta de Inicio,  pendiente informe de seguimiento 1 en Mesa de Ayuda. (Seg. 14/08/2026) "Obra 100%, Recursos 100 %, Pendiente: documentos del Municipio, visitar y liquidar. (Seg. 08/09/2026) El presupuesto es hasta $350.00.000, se entrega $323.113.145, lo que equivale al 100% financiero, acorde a lo ejecutado en obra .</t>
  </si>
  <si>
    <t>24AS111B2038</t>
  </si>
  <si>
    <t>DABEIBA</t>
  </si>
  <si>
    <t>"APOYAR AL MUNICIPIO DE DABEIBA, CON EL SUMINISTRO DE MATERIALES POR PARTE DEL DEPARTAMENTO DE ANTIOQUIA PARA LLEVAR A CABO EL MEJORAMIENTO DE VÍAS TERCIARIAS UBICADAS EN EL MUNICIPIO ASOCIADO"</t>
  </si>
  <si>
    <t xml:space="preserve">VÍA DABEIBA VIEJO_ EL MOHAN
VÍA URAMA-SAN IGNACIO
           </t>
  </si>
  <si>
    <t>(13/08/2025) terminado 100%, por liquidar - (Seg.05/08/2026) No tiene informe de seguimiento # 1 en Mesa de Ayuda  (Seg. 14/08/2026) Obra 100 % - Recursos 100 % - Pendiente: documentos  del Municipio, visitar y liquidar. (Seg. 08/09/2026) El presupuesto es hasta $350.00.000, se entrega $320.113.290, lo que equivale al 100% financiero, acorde a lo ejecutado en obra .</t>
  </si>
  <si>
    <t>JHOAN SEBASTIAN SALAZAR</t>
  </si>
  <si>
    <t>24AS111B2010</t>
  </si>
  <si>
    <t>AMAGÁ</t>
  </si>
  <si>
    <t>APOYAR AL MUNICIPIO DE AMAGÁ, CON EL SUMINISTRO DE MATERIALES POR PARTE DEL DEPARTAMENTO DE ANTIOQUIA PARA LLEVAR A CABO EL MEJORAMIENTO DE VÍAS TERCIARIAS UBICADAS EN EL MUNICIPIO ASOCIADO</t>
  </si>
  <si>
    <t>LA QUIEBRA</t>
  </si>
  <si>
    <t xml:space="preserve">
28/03/2025 municipio solicitó terminación anticipada del convenio, el municipio realizará el alcance del proyecto con otra modalidad de cofinanciación. 
SIN ACTA DE TERMINACIÓN 
02/4/2025 terminación anticipada del convenio, acta de terminación del 31/03/2025, POR LIQUIDAR, DESISTIO.
(Seg. 08/09/2029) Acta de Terminación del 31/02/2025
</t>
  </si>
  <si>
    <t>24AS111B2015</t>
  </si>
  <si>
    <t>EL BAGRE</t>
  </si>
  <si>
    <t>"APOYAR AL MUNICIPIO DE EL BAGRE, CON EL SUMINISTRO DE MATERIALES POR PARTE DEL DEPARTAMENTO DE ANTIOQUIA PARA LLEVAR A CABO EL MEJORAMIENTO DE VÍAS TERCIARIAS UBICADAS EN EL MUNICIPIO ASOCIADO"</t>
  </si>
  <si>
    <t>LUIS CANO-EL PERICO
EL BAGRE- EL REAL</t>
  </si>
  <si>
    <t xml:space="preserve">
(23/05/2025)  segunda entrega de materiales 15/08/2025 avance de obra 48%. (20/08/2025) mismo estado. (17/08/2025) se les autorizó el 64% de los materiales, se vencio el convenio sin solicitar prorroga, SE LES ENVIO ACTA DE TERMINACIÓN. (24/04/2026) por liquidar al 64%. (Seg. 27/08/2026) Acta de Terminación del 03/10/2025.(Seg. 08/09/2026) El presupuesto es hasta $350.00.000, se entrega $222.158.535,lo que equivale al 100% financiero, acorde a lo ejecutado en obra .</t>
  </si>
  <si>
    <t>24AS111B2014</t>
  </si>
  <si>
    <t>NECHÍ</t>
  </si>
  <si>
    <t>"APOYAR AL MUNICIPIO DE NECHÍ, CON EL SUMINISTRO DE MATERIALES POR PARTE DEL DEPARTAMENTO DE ANTIOQUIA PARA LLEVAR A CABO EL MEJORAMIENTO DE VÍAS TERCIARIAS UBICADAS EN EL MUNICIPIO ASOCIADO"</t>
  </si>
  <si>
    <t>NECHÍ-SANTA ANITA</t>
  </si>
  <si>
    <t>(15/08/2025) Se entregó todo el material, avance de obra 63%, terminan en el tiempo estimado. (17/09/2028) avance de obra 95%, se les envio acta de terminación. (23/09/2025) TERMINADO 100%, por liquidar. (Seg. 27/08/2026) Acta de Terminación del  24/10/2025.(Seg. 08/09/2026) El presupuesto es hasta $350.00.000, se entrega $339.518.210 lo que equivale al 100% financiero, acorde a lo ejecutado en obra .</t>
  </si>
  <si>
    <t xml:space="preserve">JHOAN SEBASTIAN GONZALEZ SALAZAR </t>
  </si>
  <si>
    <t>24AS111B2063</t>
  </si>
  <si>
    <t>SALGAR</t>
  </si>
  <si>
    <t>"APOYAR AL MUNICIPIO DE SALGAR, CON EL SUMINISTRO DE MATERIALES POR PARTE DEL DEPARTAMENTO DE ANTIOQUIA PARA LLEVAR A CABO EL MEJORAMIENTO DE VÍAS TERCIARIAS UBICADAS EN EL MUNICIPIO ASOCIADO"</t>
  </si>
  <si>
    <t>VÍA CHUPADERO-HUMAREDA
VÍA CHAQUIRO-SIBERIA
VÍA VEREDA LA AMAGASENA</t>
  </si>
  <si>
    <t>(08/07/2025) autorización de segunda entrega de materiales,avance de obra 26,6%. (20/08/2025) Se autoriza la entrega del 100% de los materiales. (18/09/2025)  municipio recibio el material el 13/9/2025. (23/09/2025) se firmo acta de terminación ayer 22/09/2025. (Seg. 27/08/2026) Sigue pendiente la liquidación. (Seg. 08/09/2026) El presupuesto es hasta $350.00.000, se entrega $324.154.479, lo que equivale al 100% financiero, acorde a lo ejecutado en obra .</t>
  </si>
  <si>
    <t>JAIME ARTURO OSPINA GIRALDO</t>
  </si>
  <si>
    <t>24AS111B2042</t>
  </si>
  <si>
    <t>COCORNÁ</t>
  </si>
  <si>
    <t>"APOYAR AL MUNICIPIO DE COCORNÁ, CON EL SUMINISTRO DE MATERIALES POR PARTE DEL DEPARTAMENTO DE ANTIOQUIA PARA LLEVAR A CABO EL MEJORAMIENTO DE VÍAS TERCIARIAS UBICADAS EN EL MUNICIPIO ASOCIADO"</t>
  </si>
  <si>
    <t>AUTOPISTA - LAS MERCEDEZ
COCORNÁ-LA CHONTA
MOLINO-LAS PLAYAS
ZONA URBANA- VEREDA LOS POTREROS
AUTOPISTA- EL CIPRES
VEREDA SANTA BÁRBARA
LA PIÑUELA- ENTRA EL OCHO</t>
  </si>
  <si>
    <t>"
 (29/05/2025)  Tercera entrega de materiales 1/07/2025 avance obra 50%. (17/09/2025) TERMINADO 100% (Seg. 25/08/2026) Liquidación Bilateral,  obra 100%, Recursos 88.85%. Quedar a Paz y Salvo, 11/05/2026. Cierre Expediente 31/07/2026"</t>
  </si>
  <si>
    <t>LIQUIDACIÓN BILATERAL</t>
  </si>
  <si>
    <t>CERRADO</t>
  </si>
  <si>
    <t>JULIANA GOMEZ ECHAVARRIA</t>
  </si>
  <si>
    <t>24AS111B1750</t>
  </si>
  <si>
    <t>APOYAR AL MUNICIPIO DE  CONCEPCIÓN, CON EL SUMINISTRO DE MATERIALES POR PARTE DEL DEPARTAMENTO DE ANTIOQUIA PARA LLEVAR A CABO EL MEJORAMIENTO DE VÍAS TERCIARIAS
UBICADAS EN EL MUNICIPIO ASOCIADO</t>
  </si>
  <si>
    <t xml:space="preserve">FATIMA 				
RAMAL A SONADORA 		
ARANGO-LA PALMA 			
CONCEPCION - SANTA GERTRUDIS 	
SAN JUAN LLANO 			</t>
  </si>
  <si>
    <t xml:space="preserve">(29/01/2025) Terminado 100%, pendiente por liquidar  (Seg. 14/08/2026) Obra y Recursos 100%, Pago pendiente: No, Documentos pendiente: Informe final y documentos del MunicIpio para liquidación. (Seg. 14/09/2026) En mesa de Ayuda tiene Acta de terminación, obra 50% recursos  100% del 30/12/2025.
</t>
  </si>
  <si>
    <t>24AS111B2018</t>
  </si>
  <si>
    <t>EL PEÑOL</t>
  </si>
  <si>
    <t>VÍA LA HELIDA-EL CARMELO
EL MARIAL-PALMIRA LA HONDA
EL UVITAL-SECTOR COTRAFA
EL MARIAL-ESCUELA
CARMELO-SUBIENDO A LA ESCUELA
VÍA CONCORDIA- HACIA GRANADA
BONILLA-ENTRE SALON COMUNAL Y ESCUELA</t>
  </si>
  <si>
    <t>(11/07/2025) se entregó todo el material. (25/08/2025) avance de obra 95%. (17/09/2025) Pendiente visita a campo para verificar la obra . (29/09/2025) avance de obra 97% - TERMINADO 100% _pendiente el cierre del expediente.(Seg. 14/09/2026) Liquidación Bilateral del 13/04/2026, obra 100% y recursos 86.63%. Quedar a Paz y salvo. Cierre Expediente 31/07/2026</t>
  </si>
  <si>
    <t>24AS111B2065</t>
  </si>
  <si>
    <t>EL RETIRO</t>
  </si>
  <si>
    <t>"APOYAR AL MUNICIPIO DE EL RETIRO, CON EL SUMINISTRO DE MATERIALES POR PARTE DEL DEPARTAMENTO DE ANTIOQUIA PARA LLEVAR A CABO EL MEJORAMIENTO DE VÍAS TERCIARIAS UBICADAS EN EL MUNICIPIO ASOCIADO"</t>
  </si>
  <si>
    <t>NAZARET-TABACAL-AMAPOLA
EL RETIRO-PANTALIO
EL MORRO</t>
  </si>
  <si>
    <t>(29/05/2025) segunda entrega de materiales, avance de obra 40%. (11/07/2025) avance de obra 70%11/07/2025 28/08/2025 avance de obra 80%. (30/09/2025) avance de obra 85%. (21/07/2026) Avance de obra del 100% - Financiera del 100% (Seg. 14/09/2026)
Liquidación Bilateral el 30/06/2026, obra 100%, recursos 90.56%. Paz y Salvo. Cierre Expediente el 31/07/2026.</t>
  </si>
  <si>
    <t>24AS111B2008</t>
  </si>
  <si>
    <t>LA UNIÓN</t>
  </si>
  <si>
    <t>"APOYAR AL MUNICIPIO DE LA UNIÓN, CON EL SUMINISTRO DE MATERIALES POR PARTE DEL DEPARTAMENTO DE ANTIOQUIA PARA LLEVAR A CABO EL MEJORAMIENTO DE VÍAS TERCIARIAS UBICADAS EN EL MUNICIPIO ASOCIADO"</t>
  </si>
  <si>
    <t xml:space="preserve">VÍA BUENAVISTA-LAS BRISAS PUENTE TABLAS
VÍA CRUZ ROJA-CHALARCA
VÍA CRUZ ROLA-QUEBRADA MINITAS
VÍA SAN MIGUEL-SANTA CRUZ-LA HONDA
VÍA SAN MIGUEL-SANTA CRUZ-LA HONDA-LA CHUSMARINA
VÍA LAS TERESAS-LAS COLMENAS
</t>
  </si>
  <si>
    <t>(11/07/2025)  obra 50% , segundo pedido de materiales. (28/08/2025) obra 81%. (30/09/2025) obra 85%. (Seg. 14/09/2026) Liquidación Bilateral del 04/05/2026, obra 100%, recursos 91.96%. Quedar a Paz y Salvo. Cierre de Expediente 31/07/2026.</t>
  </si>
  <si>
    <t>24AS111B1729</t>
  </si>
  <si>
    <t>NARIÑO</t>
  </si>
  <si>
    <t>APOYAR AL MUNICIPIO NARIÑO, CON EL SUMINISTRO DE MATERIALES POR PARTE DEL DEPARTAMENTO DE ANTIOQUIA PARA LLEVAR A CABO EL MEJORAMIENTO DE VÍAS TERCIARIAS UBICADAS EN
EL MUNICIPIO ASOCIADO</t>
  </si>
  <si>
    <t>NARIÑO-GUAMITO</t>
  </si>
  <si>
    <t>(Seg. 21/07/2026 - Liquidación Bilateral del 20/11/2025 obra 100%, recursos 95.86% . Quedar a Paz y Salvo. Cierre del expediente 31/07/2026</t>
  </si>
  <si>
    <t>24AS111B2041</t>
  </si>
  <si>
    <t>SAN CARLOS</t>
  </si>
  <si>
    <t>"APOYAR AL MUNICIPIO DE SAN CARLOS, CON EL SUMINISTRO DE MATERIALES POR PARTE DEL DEPARTAMENTO DE ANTIOQUIA PARA LLEVAR A CABO EL MEJORAMIENTO DE VÍAS TERCIARIAS UBICADAS EN EL MUNICIPIO ASOCIADO"</t>
  </si>
  <si>
    <t>CAÑAVERAL-LA FLORIDA
SAN CARLOS-VALLEJUELO
VALLEJUELO-LAS CAMELIAS
LA TUPIADA-BETULIA
PUENTE ARKANSAS-SAMANÁ</t>
  </si>
  <si>
    <t>(29/05/2025) segunda entrega de materiales, obra 40%. (28/08/2025) obra 80%. (29/09/2025) obra 85%. (17/04/2026) obra 95%. (Seg. 14/09/2026) Liquidación Bilateral 10/06/2026, obra 100% recurso 90.89%. Quedar a Paz y Salvo. Cierre Expediente 31/07/2026</t>
  </si>
  <si>
    <t>24AS111B2040</t>
  </si>
  <si>
    <t>SAN RAFAEL</t>
  </si>
  <si>
    <t>"APOYAR AL MUNICIPIO DE SAN RAFAEL, CON EL SUMINISTRO DE MATERIALES POR PARTE DEL DEPARTAMENTO DE ANTIOQUIA PARA LLEVAR A CABO EL MEJORAMIENTO DE VÍAS TERCIARIAS UBICADAS EN EL MUNICIPIO ASOCIADO"</t>
  </si>
  <si>
    <t>EL GOLGOTA-EL DIAMANTE
LA ESTRELLA
BALSAS- EL SILENCIO PARTE BAJA
CUERVOS
BISCOCHO-MANILA</t>
  </si>
  <si>
    <t>Pendiente liquidar - TERMINADO 100% _ (Seg.24/07/2026) Liquidado Bilateralmente 14-05-2026, obra 100%, recursos 91.31%. Paz y Salvo.  Cierre Expediente 31/07/2026</t>
  </si>
  <si>
    <t>24AS111B1725</t>
  </si>
  <si>
    <t>APOYAR AL MUNICIPIO DE SAN RAFAEL CON EL SUMINISTRO DE MATERIALES POR PARTE DEL DEPARTAMENTO DE ANTIOQUIA PARA LLEVAR A CABO EL MEJORAMIENTO DE VÍAS TERCIARIAS
UBICADAS EN EL MUNICIPIO ASOCIADO</t>
  </si>
  <si>
    <t>MACANAL                                                       
LA FLORIDA                                                   
 EL GUADUAL                                                 
SAN AGUSTÍN                                               
LOS MEDIOS</t>
  </si>
  <si>
    <t>29/01/2025 Terminado 100% . (Seg. 21/07/2026) liquidación Bilateral del  20/10/2025, obra 100%,  recursos 95.66%. Quedan a Paz y Salvo. Cierre Expediente 31/07/2026</t>
  </si>
  <si>
    <t>24AS111B2045</t>
  </si>
  <si>
    <t>SAN VICENTE DE FERRER</t>
  </si>
  <si>
    <t xml:space="preserve">"APOYAR AL MUNICIPIO DE SAN VICENTE, CON EL SUMINISTRO DE MATERIALES POR PARTE DEL DEPARTAMENTO DE ANTIOQUIA PARA LLEVAR A CABO EL MEJORAMIENTO DE VÍAS TERCIARIAS UBICADAS EN EL MUNICIPIO ASOCIADO"
</t>
  </si>
  <si>
    <t>ANILLO LA MAGDALENA-MONTEALEGRE-SAN JOSÉ</t>
  </si>
  <si>
    <t>(13/05/2025) solicito primer pedido de materiales. (11/07/2025) obra 20%. (29/07/2025) obra 30%. (28/08/2025) obra 40%. (22/09/2025) se entregaron todos los materiales, avance de obra 70%. (30/09/2025) obra 80% _ (Seg 24/07/2026) Liquidado Bilateralmente el  13/04/2026, obra 100%, recursos 88.44%. Quedar a Paz y Salvo. Cierre de expediente el 31/07/2026</t>
  </si>
  <si>
    <t>WILLIAM HERNAN ACUÑA VARGAS</t>
  </si>
  <si>
    <t>24AS111B2037</t>
  </si>
  <si>
    <t>SONSÓN</t>
  </si>
  <si>
    <t>"APOYAR AL MUNICIPIO DE SONSÓN, CON EL SUMINISTRO DE MATERIALES POR PARTE DEL DEPARTAMENTO DE ANTIOQUIA PARA LLEVAR A CABO EL MEJORAMIENTO DE VÍAS TERCIARIAS UBICADAS EN EL MUNICIPIO ASOCIADO"</t>
  </si>
  <si>
    <t xml:space="preserve">VÍA LA DANTA-SAN MIGUEL
</t>
  </si>
  <si>
    <t xml:space="preserve">(17/04/2026) avance de obra 80% _ (Seg.24/07/2026) Pendiente la visita de campo en octubre, el informe final, la obra continúa en el 80% y financieramente el 100%, todavez que ya se entregó la totalidad de los materiales. (31/08/2026) La supervisión  fue trasladada del profesional Jaime Arturo Ospina Giraldo al profesional William Hernán Acuña Vargas, mediante delegación No. 2026020032475 del 25 de agosto de 2026. </t>
  </si>
  <si>
    <t>ESPACIO PÚBLICO</t>
  </si>
  <si>
    <t>CONVENIO INTERADMINISTRATIVO PARA LA IMPLEMENTACIÓN DE PILOTO DE URBANISMO TÁCTICO EN LA CALLE DEL VENTARRÓN EN EL MUNICIPIO DE SONSÓN.</t>
  </si>
  <si>
    <t>CALLE DEL VENTARRÓN</t>
  </si>
  <si>
    <t>(29/09/2025) pendiente último desembolso_(Seg.24/07/2026)_obra y Financiera en un 100%, pendiente informe final con los egresos para iniar el proceso de liquidación. (31/08/2026) La supervisión fue trasladada del profesional Jaime Arturo Ospina Giraldo al profesional William Hernán Acuña Vargas, mediante delegación No. 2026020032475 del 25 de agosto de 2026.</t>
  </si>
  <si>
    <t>DORIS DUQUE PINEDA</t>
  </si>
  <si>
    <t>24AS111B1735</t>
  </si>
  <si>
    <t>CISNEROS</t>
  </si>
  <si>
    <t>APOYAR AL MUNICIPIO CISNEROS, CON EL SUMINISTRO DE MATERIALES POR PARTE DEL DEPARTAMENTO DE ANTIOQUIA PARA LLEVAR A CABO EL MEJORAMIENTO DE VÍAS TERCIARIAS
UBICADAS EN EL MUNICIPIO ASOCIADO</t>
  </si>
  <si>
    <t>BELLAVISTA-SABANALARGA (SECTOR BELLAFATIMA)                                   
SANTA ELENA</t>
  </si>
  <si>
    <t>(7/11/2024) se autorizó el 100% de entrega de materiales - 25/11/2024 Obras actualmente en ejecución, segun información del muncipio se encuentra en 40 de avance real. se autorizó el 100% de entrega de materiales sin cumplimiento de requisito de avance establecido en el convenio, lo anterior debido a la fecha límite para autorizaciones. (10/03/2025) con acta de terminación, pendiente visita a campo por parte del supervisor para verificar obra - (24/04/2025) municipio reporta 100% avance de obra, pendiente de entrega de información del municipio. (Seg 27/08/2026) Cuenta con la segunda solicitud de documentos para liquidar del 13/08/2026</t>
  </si>
  <si>
    <t>24AS111B1734</t>
  </si>
  <si>
    <t>SAN ROQUE</t>
  </si>
  <si>
    <t>APOYAR AL MUNICIPIO SAN ROQUE, CON EL SUMINISTRO DE MATERIALES POR PARTE DEL DEPARTAMENTO DE ANTIOQUIA PARA LLEVAR A CABO EL MEJORAMIENTO DE VÍAS TERCIARIAS
UBICADAS EN EL MUNICIPIO ASOCIADO</t>
  </si>
  <si>
    <t>PALMAS-SANTA ISABEL
CABILDO-TRAPICHE
FRAYLES-COROCITO
JARDÍN-POPAL
TACHIRA
SAN JUAN-CHORROCLARO
SAN JOAQUIN- ESCUELA
DIAMANTE
JARDIN-MULTAL</t>
  </si>
  <si>
    <t>(20/08/2025) terminado 100%, por liquidar -(24/04/2026) pendiente que en Municipio envíe informe para poder hacer vista a campo y poder liquidar - (Seg. 13/08/2026) _ con Acta de Terminación e Informe Seguimiento # 2 del 12/02/2025, Ejecución Fisíca del 57% y Recursos del 96%,  Presupuesto de $349.987.462  de los cuales se desembolsó $334.945.844 para un saldo de $15.041.618, cuenta con alerta para que reporten el estado actual de la obra, del 24/09/2025. (Seg.27/08/2026) Sigen los pendientes.</t>
  </si>
  <si>
    <t>24AS111B2024</t>
  </si>
  <si>
    <t>PALMAS- SANTA ISABEL
EL POVERNIR-LA GÓMEZ
VILLA NUEVA-MARBELLA
VILLANUEVA-SAN ANTONIO
PATIO BONITO
EL BARCINO-EL TRAPICHE
CRISTALES-GUACAS ABAJO
LAS ENCARGNACIONES-LA PUREZA</t>
  </si>
  <si>
    <r>
      <rPr>
        <rFont val="Calibri"/>
        <color rgb="FF000000"/>
        <sz val="11.0"/>
      </rPr>
      <t xml:space="preserve">(28/07/2025) en tramite solicitud de prorroga por 3 meses - 13/08/2025 aprobada prorroga en CIC, pendiente COS del viernes 15 de agosto. (15/08/2025) Aprobada prórroga por 3 meses, termina el 24/11/2025 - (30/09/2025) se entregó todo el material, avance de obra 60% - (25/11/2025) pendiente informe final por parte del municipio, POR LIQUIDAR - (24/04/2026) sigue igual -  </t>
    </r>
    <r>
      <rPr>
        <rFont val="Calibri"/>
        <color rgb="FF000000"/>
        <sz val="11.0"/>
      </rPr>
      <t xml:space="preserve">(Seg. 13/08/2026) _ con   Informe Seguimiento # 10 del 11/11/2025 , Fisíca 76% y Recursos 92%,  Acta de Terminación del 12/12/2025. Pendiene de documentos del municipio para proceder con la visita. </t>
    </r>
    <r>
      <rPr>
        <rFont val="Calibri"/>
        <color rgb="FF000000"/>
        <sz val="11.0"/>
      </rPr>
      <t>(Seg. 08/09/2026) El presupuesto es hasta $350.00.000, se entrega $322.425.688, lo que equivale al 100% financiero, acorde a lo ejecutado en obra .</t>
    </r>
  </si>
  <si>
    <t>DAVID ALBERTO GOMEZ DUQUE</t>
  </si>
  <si>
    <t>24AS111B1787</t>
  </si>
  <si>
    <t>ANORÍ</t>
  </si>
  <si>
    <t>APOYAR AL MUNICIPIO DE ANORÍ, CON EL SUMINISTRO DE MATERIALES POR PARTE DEL DEPARTAMENTO DE ANTIOQUIA PARA LLEVAR A CABO EL MEJORAMIENTO DE VÍAS TERCIARIAS
UBICADAS EN EL MUNICIPIO ASOCIADO</t>
  </si>
  <si>
    <t xml:space="preserve">LA PRIMAVERA - LAS NIEVES
LA PRIMAVERA - LA GUAYANA
</t>
  </si>
  <si>
    <t>"(29/01/2025) Se autorizó el 100% de entrega de materiales sin el porcentaje de avance requerido en el convenio. El avance al 22/11/2024 (según información verbal del mpio) es del 65% lo cual queda pendiente de verificación por parte de la supervisión.  (28/03/2025) pendiente visita a campo por parte del supervisor para verificar estado de la obra, avance de obra 80%  (04/04/2025) terminado 100%, pendiente liquidar (Seg. 22/07/2026)_en proceso de liquidación (Seg 19/08/2026) Informe Seguimiento # 1  odel 30/01/2025, bra del 100% Recursos del 100%,  Acta de Terminación del 05/02/2025, pendientes, información del mpio, visita del supervisor, liqudiar.
"</t>
  </si>
  <si>
    <t>24AS111B1771</t>
  </si>
  <si>
    <t>TARAZÁ</t>
  </si>
  <si>
    <t>APOYAR AL MUNICIPIO TARAZÁ, CON EL SUMINISTRO DE MATERIALES POR PARTE DEL DEPARTAMENTO DE ANTIOQUIA PARA LLEVAR A CABO EL MEJORAMIENTO DE VÍAS TERCIARIAS</t>
  </si>
  <si>
    <t>CORREGIMIENTO EL GUAIMARO-LAS PARTIDAS
VIA LA TRONCAL – VEREDA LA PIPIOLA</t>
  </si>
  <si>
    <t>(25/11/2024) Solo se alcanzó a entregar el 33% de materiales puesto que el paro minero dificultó la entrega y no se inicio ejecución antes del 6/11/2024, fecha límite para solicitud de los mismo. Pendiente inicio de obras, materiales ya fueron entregados. (29/01/2025) no hay  evidencia de ejecución de obra a la fecha. (18/02/2025) con acta de terminación, pendiente liquidar. (04/04/2025) Pendiente visita a campo para verificar obra con 33% . (06/05/2025) NO se pudo realizar la visita por problemas de orden público. (10/06/2025) pendiente visita a campo la proxima semana. (03/07/2025) finaliza convenio con ejecución del 33%, pendiente liquidar. ( Seg. 27/08/2026) Sigue pendiente la liqudiación.</t>
  </si>
  <si>
    <t>24AS111B2013</t>
  </si>
  <si>
    <t>CAREPA</t>
  </si>
  <si>
    <t>"APOYAR AL MUNICIPIO DE CAREPA, CON EL SUMINISTRO DE MATERIALES POR PARTE DEL DEPARTAMENTO DE ANTIOQUIA PARA LLEVAR A CABO EL MEJORAMIENTO DE VÍAS TERCIARIAS UBICADAS EN EL MUNICIPIO ASOCIADO"</t>
  </si>
  <si>
    <t>CAMAGUEY
GUANAJAY</t>
  </si>
  <si>
    <t>(20/04/2026) obra 80%, pendiente liquidar (Seg. 24/07/2026) - El municipio deberá entregar documentos para liquidar con la inversión total de los recursos en especie entregados por el Departamento (Seg. 20/08/2026) Informe de Seguimiento # 9 del 14/11/2025, obra del 30%, recursos del 33%. (Seg. 10/09/2026) el valor es hasta $350.000.000 de los cuales se ha desembolsado $265.165.038.</t>
  </si>
  <si>
    <t>DALIS MILENA HINCAPIE PIEDRAHITA</t>
  </si>
  <si>
    <t>24AS111B1786</t>
  </si>
  <si>
    <t>MUTATÁ</t>
  </si>
  <si>
    <t>APOYAR AL MUNICIPIO DE MUTATÁ, CON EL SUMINISTRO DE MATERIALES POR PARTE DEL DEPARTAMENTO DE ANTIOQUIA PARA LLEVAR A CABO EL MEJORAMIENTO DE VÍAS TERCIARIAS UBICADAS EN
EL MUNICIPIO ASOCIADO</t>
  </si>
  <si>
    <t>Cacaos (05480VT01)</t>
  </si>
  <si>
    <t>18/11/2025 se realizó acta de terminación. (25/02/2025) primera solicitud de documentos para liquidar. (Seg. 08/09/2026) El presupuesto es hasta $350.00.000, se entrega $323.699.646, lo que equivale al 100% financiero, acorde a lo ejecutado en obra .(Seg. 03/08/2026) La Ingeniera Dalis Milena, manfifiesta que este proceso no se delegará la supervisión, toda vez que ella misma lo liquidará. (SEg. 14/09/2026) Actualmente se encuentra recopilando y solicitando la información necesaria para determinar el avance y estado del respectivo proceso de liquidación.</t>
  </si>
  <si>
    <t>24AS111B1770</t>
  </si>
  <si>
    <t>APOYAR AL MUNICIPIO NECOCLÍ, CON EL SUMINISTRO DE MATERIALES POR PARTE DEL DEPARTAMENTO DE ANTIOQUIA PARA LLEVAR A CABO EL MEJORAMIENTO DE VÍAS TERCIARIAS UBICADAS EN
EL MUNICIPIO ASOCIADO</t>
  </si>
  <si>
    <t xml:space="preserve">Vía Zapata – Narváez – Ramal Carreto Descanso </t>
  </si>
  <si>
    <t>Terminado 100% - (Seg. 24/07/2026)__El municipio deberá entregar documentos para liquidar con la inversión total de los recursos en especie entregados por el Departamento - (Seg. 11/08/2026) Cuenta con Acta de Terminación del 30/12/2024 e Informe de Seguimiento # 5 del 31/12/2024 con un inicial de $174.988.881 Recursos entregadados $167.171.465,35 Recursos No ejecutados $7.817.416,65 % Fisíca 60% - Recursos 100%. Pendiente de Liquidar. (Seg. 26/08/2026) La supervisión se reasigno de Dalis Milena Hincapié Piedrahita, al ingeniero Juan Sebastián Vesga Medina, el 26/08/2026, radicado 2026020032594.</t>
  </si>
  <si>
    <t>24AS111B2062</t>
  </si>
  <si>
    <t>SAN JUAN DE URABÁ</t>
  </si>
  <si>
    <t>"APOYAR AL MUNICIPIO DE SAN JUAN DE URABÁ, CON EL SUMINISTRO DE MATERIALES POR PARTE DEL DEPARTAMENTO DE ANTIOQUIA PARA LLEVAR A CABO EL MEJORAMIENTO DE VÍAS TERCIARIAS UBICADAS EN EL MUNICIPIO ASOCIADO"</t>
  </si>
  <si>
    <t>VÍA TERCIARIA BARRANCONES
SINAÍ-BELÉN
VÍA EL FILO-CEDRITOS-VOLCANES</t>
  </si>
  <si>
    <t>TERMINADO 100% - (Seg. 11/08/2026) Informe Seguimiento # 3/10/2025 - Valor de $350.000.000 desembolsados $115.500.000 Recursos no Ejecutados $234.500.000. Física 10% Recursos 33% en Especie _ Acta de Terminación del 19/12/2025. (Seg. 27/08/2026) Continúa pendiente la liquidación. (Seg. 08/09/2026) El presupuesto es hasta $350.00.000, se entrega $223.101.532, lo que equivale al 100% financiero, acorde a lo ejecutado en obra . (Seg. 26/08/2026) La supervisión se reasigno de Dalis Milena Hincapié Piedrahita, al ingeniero Juan Sebastián Vesga Medina, el 26/08/2026, radicado 2026020032594.</t>
  </si>
  <si>
    <t>24AS111B1730</t>
  </si>
  <si>
    <t>SAN PEDRO DE URABÁ</t>
  </si>
  <si>
    <t>"APOYAR AL MUNICIPIO DE SAN PEDRO DE URABÁ, CON EL SUMINISTRO DE MATERIALES POR PARTE DEL DEPARTAMENTO DE ANTIOQUIA PARA LLEVAR A CABO EL MEJORAMIENTO DE VÍAS TERCIARIAS UBICADAS EN EL MUNICIPIO ASOCIADO"</t>
  </si>
  <si>
    <t>APARTADA DEL AJÍ- EL AJÍ</t>
  </si>
  <si>
    <t>( 24/07/2025) terminado 100%, pendiente liquidar - (Seg.24/07/2026)__El municipio deberá entregar documentos para liquidar con la inversión total de los recursos en especie entregados por el Departamento - (Seg. 11/08/2026) Informe de Seguimiento # 5 del 31/12/2024 - % Obra 60% en Recursos 100% en especie - inicial de $340.305.002 Desembolsados $ 325.622.265,933 Recursos no Ejecutados $14.682.736,067 - Acta de Terminación del 30/12/2024.(Seg.27/08/2026) Continuan los pendientes. Seg. 03/08/2026) La Ingeniera Dalis Milena, manfifiesta que este proceso no se delegará la supervisión, toda vez que ella misma lo liquidará.</t>
  </si>
  <si>
    <t>24AS111B2061</t>
  </si>
  <si>
    <t>MORROA-ZAPINDONGA</t>
  </si>
  <si>
    <t>(20/04/2026) obra 90% _ (Seg. 17/07/2026)  El municipio deberá entregar documentos para liquidar con la inversión total de los recursos en especie entregados por el Departamento - Seg 11/08/2026 Informe Seguimiento # 6 del 31/07/2026 Valor inicial $350.000.000 de los cuales se les entregó en su totalidad, Ejecutaron $111.879.795 Recursos no ejecutados $238.120.205 - % Físico 36% Recursos 100% especie. (Seg. 20/08/2026) En Mesa de ayuda tiene: Acta de Terminación del 23/07/2025 y  el Informe de Seguimiento # 6 del 31/07/2025 , obra del 36%, recursos 100% en especie. (Seg. 14/09/2026) Valor inicial es hasta $350.000.000 de los cuales se desembolso $322.965.481 siendo el 90% acorde a lo ejecutado del 92.28%, "informe de pago de Adriana".</t>
  </si>
  <si>
    <t>24AS111B2046</t>
  </si>
  <si>
    <t>"APOYAR AL MUNICIPIO DE VIGÍA DEL FUERTE, CON EL SUMINISTRO DE MATERIALES POR PARTE DEL DEPARTAMENTO DE ANTIOQUIA PARA LLEVAR A CABO EL MEJORAMIENTO DE VÍAS TERCIARIAS UBICADAS EN EL MUNICIPIO ASOCIADO"</t>
  </si>
  <si>
    <t>BUCHADO</t>
  </si>
  <si>
    <t>"(31/07/2025) TERMINADO 100%_ (Seg. 24/07/2026) Vigia del Fuerte deberá entregar documentos para liquidar con la inversión total de los recursos en especie entregados por el Departamento - (Seg. 11/08/2026) Informe de Seguimiento del 31/05/2025 , Física 30% % Recursos 100% Especie. Acta de Terminación del 25/06/2025. (Seg. 27/08/2026) Pendiente documentos del Municipio para liquidar. (Seg. 08/09/2026) El presupuesto es hasta $350.00.000, se entrega $76.816.823, lo que equivale al 100% financiero, acorde a lo ejecutado en obra . (Seg. 26/08/2026) La supervisión se reasigno de Dalis Milena Hincapié Piedrahita, al ingeniero Juan Sebastián Vesga Medina, el 26/08/2026, radicado 2026020032594.</t>
  </si>
  <si>
    <t>ARTICULAR Y COORDINAR ESFUERZOS ENTRE EL
DEPARTAMENTO DE ANTIOQUIA Y EL MUNICIPIO DE VIGÍA DEL FUERTE PARA EL
MEJORAMIENTO DE VÍAS URBANAS, UBICADAS EN EL MUNICIPIO ASOCIADO</t>
  </si>
  <si>
    <t xml:space="preserve"> Carrera 6 entre calles 10 y 14 - * Carrera 6 entre calles 19 y 20 - * Carrera 6 entre calles 20 y 21 - * Carrera 6 entre calles 21 y 22 - * Carrera 7 entre calles 14 y 16 - * Carrera 7 entre calles 16 y 17 - * Carrera 7 entre calles 17 y 18 - * Carrera 7
entre calles 18 y 19 - * Carrera 8 entre calles 16 y 17 - * Carrera 8 entre calles 18 y 19 - * Carrera 8 entre calles 19 y 20 - *
Calle 13 con entre carreras 1 y 2 - * Calle 21 con entre carreras 5 Y 6 - * Calle 22 con entre carreras 2 Y 3"</t>
  </si>
  <si>
    <t>EN EJECUCIÓN</t>
  </si>
  <si>
    <t>30/10/2025 Suspensión por 3 meses del 27/10/2025 hasta el 27/01/2026_ ampliación a la suspensión por 3 meses del 27/01/2026 hasta el 27/04/2026_28/04/2026 prórroga por 3 meses, termina el 28/07/2026 _ (Seg.) El municipio deberá entregar documentos para liquidar con la inversión total de los recursos entregados por el Dpto . Se debe realizar Acta de Terminación el 28/07/2026 (vencimiento de la prórroga N.1) (Seg. 26/08/2026) La supervisión se reasigno de Dalis Milena Hincapié Piedrahita, al ingeniero Juan Sebastián Vesga Medina, el 26/08/2026, radicado 2026020032594.</t>
  </si>
  <si>
    <t>CRISTIAN CAMILO QUIRAMA HENAO</t>
  </si>
  <si>
    <t>24AS111B2029</t>
  </si>
  <si>
    <t>ANDES</t>
  </si>
  <si>
    <t>APOYAR AL MUNICIPIO DE ANDES, CON EL SUMINISTRO DE MATERIALES POR PARTE DEL DEPARTAMENTO DE ANTIOQUIA PARA LLEVAR A CABO EL MEJORAMIENTO DE VÍAS TERCIARIAS UBICADAS EN EL MUNICIPIO ASOCIADO</t>
  </si>
  <si>
    <t>RAMAL RANCHO QUEMADO-YARUMAL
SAN BARTOLO (LOS LÓPEZ)
SAN PERUCHO
RAMAL SAN PEDRO-SAN PEDRO ARRIBA
PIAMONTE
LOS ALZATES-RINCON SANTO
RAMAL LA CARBONERA-CUATRO ESQUINA
ANDES-LA SOLITA
ANDES-SAN MIGUEL(LAS PEÑA)
EL ROJO
RIO CLARO
ANDES-LA SOLITA (LA RATONERA)</t>
  </si>
  <si>
    <t>"
(10/07/2025) Prórroga de 5 meses hasta el 21/12/2025 (23/09/2025)  obra 26% (16/12/2025) se les entregó todo el material, Avance de obra 62,7% (24/04/2026) obra 90%, por liquidar (Seg. 18/08/2026) Acta de Terminación del 22/12/2025, pendiente  informe final del mpio, visita y liquidación. (Seg. 08/09/2026) El presupuesto es hasta $350.000.000, se entregó $310.810.019, lo que equivale al 100% de  lo ejecutado en obra.</t>
  </si>
  <si>
    <t>2024_2027_Files_/632024.REGISTRO FOTOGRÁFICO_ZIP.141637. Registro fotográfico de las vías.pdf</t>
  </si>
  <si>
    <t>cristian.quiramahenao@gmail.com</t>
  </si>
  <si>
    <t>24AS111B1736</t>
  </si>
  <si>
    <t>BRICEÑO</t>
  </si>
  <si>
    <t>APOYAR AL MUNICIPIO BRICEÑO, CON EL SUMINISTRO DE MATERIALES POR PARTE DEL DEPARTAMENTO DE ANTIOQUIA PARA LLEVAR A CABO EL MEJORAMIENTO DE VÍAS TERCIARIAS
UBICADAS EN EL MUNICIPIO ASOCIADO</t>
  </si>
  <si>
    <t>SANTA ANA- CHORRILLOS
SOCAVONES-MORAVIA
LAS BRISAS-LAS AURAS
BRICEÑO-MORRÓN
VALLE DE TOLEDO-ALTO DE CHIRI
EL PESCADO-LA AMÉRICA-LA MOLINA
VÍA LAS AURAS-ESCUELA LA VÉLEZ
BODEGA CAMPO ALEGRE-CAMPO ALEGRE</t>
  </si>
  <si>
    <t>Se entregó todo el material (06/05/2025) terminado 100% por liquidar (Seg. 19/08/2026) Acta de Terminación del , Informe de Seguimiento # 7 del 09/04/2026, Liquidación Bilateral del 21/04/2026, Obra 100% recursos  95.71% . Queda a paz y salvo por todo concepto en todas la obligaciones originadas en le presente convenio.</t>
  </si>
  <si>
    <t>TERMINACIÓN</t>
  </si>
  <si>
    <t>EN PROCESO</t>
  </si>
  <si>
    <t>24AS111B2012</t>
  </si>
  <si>
    <t>"APOYAR AL MUNICIPIO DE BRICEÑO, CON EL SUMINISTRO DE MATERIALES POR PARTE DEL DEPARTAMENTO DE ANTIOQUIA PARA LLEVAR A CABO EL MEJORAMIENTO DE VÍAS TERCIARIAS UBICADAS EN EL MUNICIPIO ASOCIADO"UBICADAS EN EL MUNICIPIO ASOCIADO</t>
  </si>
  <si>
    <t xml:space="preserve">VALLE DE TOLEDO-BUENAVISTA
LAS BRISAS- EL GUAICO
TRAVESÍAS- EL ROBLAL
EL TURCO-LA CRISTALINA
VIA LAS AURAS-EL GURRÍ- LA RODRIGUEZ
SANTA ANA- SAN EPIFANIO
</t>
  </si>
  <si>
    <t>24/04/2026 Terminado al 100%, se hizo visita los días los 15 y 16 de abril de 2026 (Seg. 19/08/2026) Acta de Terminación del 09/10/2025. Informe de Seguimiento # 10 del 19/09/2026,  Obra del 100 %, recursos del 92,10 % . Liquidación Bilateral del 22/06/2026,  Obra del 100 %, recursos del 92,10 % . El Municipio queda paz y salvo por todo concepto en todas la obligaciones originadas en el  presente convenio.(Seg. 08/09/2026) El presupuesto es hasta $350.00.000, se entrega $322.365.185, lo que equivale al 100% financiero, acorde a lo ejecutado en obra .</t>
  </si>
  <si>
    <t>24AS111B2058</t>
  </si>
  <si>
    <t>DON MATÍAS</t>
  </si>
  <si>
    <t>"APOYAR AL MUNICIPIO DE DONMATIAS, CON EL SUMINISTRO DE MATERIALES POR PARTE DEL DEPARTAMENTO DE ANTIOQUIA PARA LLEVAR A CABO EL MEJORAMIENTO DE VÍAS TERCIARIAS UBICADAS EN EL MUNICIPIO ASOCIADO"</t>
  </si>
  <si>
    <t>VIA ARENALES</t>
  </si>
  <si>
    <t>24/04/2026 TERMINADO 100%, pendiente visita de obra para el 28/04/2026 - (Seg. 20/08/2026) Acta de Terminación E Informe de Seguimiento # 9 ambos del 10/10/2025, obra del 65.23% y Recursos del 91.47%. Por liquidar. (Seg. 08/09/2026) El presupuesto es hasta $350.00.000, se entrega $317.635.190 lo que equivale al 100% financiero, acorde a lo ejecutado en obra .</t>
  </si>
  <si>
    <t>24AS111B2054</t>
  </si>
  <si>
    <t>SAN JOSÉ DE LA MONTAÑA</t>
  </si>
  <si>
    <t>"APOYAR AL MUNICIPIO DE SAN JOSÉ DE LA MONTAÑA, CON EL SUMINISTRO DE MATERIALES POR PARTE DEL DEPARTAMENTO DE ANTIOQUIA PARA LLEVAR A CABO EL MEJORAMIENTO DE VÍAS TERCIARIAS UBICADAS EN EL MUNICIPIO ASOCIADO"</t>
  </si>
  <si>
    <t>VÍA POTRERITO
VÍA EL CONGO
VÍA SAN JOSÉ- CAMBURÉ</t>
  </si>
  <si>
    <t>(13/08/2025) se hizo última solicitud de materiales el 5 de agosto, avance de obra 60%. (27/08/2025) terminan contra liquidación, pendiente informe de ejecución por parte del municipio. (23/09/2025) TERMINADO, por liquidar. (Seg. 27/08/2026) Liquidación Bilateral del  26/06/2026, obra 100% y recursos 89.02% . Quedar a paz y salvo por todo concepto en todas la obligaciones originadas en el  presente convenio. Pendiente Cierre de Expediente. (Seg. 08/09/2026) El presupuesto es hasta $350.00.000, se entrega $ lo que equivale al 100% financiero, acorde a lo ejecutado en obra .</t>
  </si>
  <si>
    <t>24AS111B1739</t>
  </si>
  <si>
    <t>SAN PEDRO DE LOS MILAGROS</t>
  </si>
  <si>
    <t>APOYAR AL MUNICIPIO DE SAN PEDRO DE LOS MILAGROS, CON EL SUMINISTRO DE MATERIALES POR PARTE DEL DEPARTAMENTO DE ANTIOQUIA PARA LLEVAR A CABO EL MEJORAMIENTO DE VÍAS TERCIARIAS UBICADAS EN
EL MUNICIPIO ASOCIADO</t>
  </si>
  <si>
    <t xml:space="preserve">La Arroyave
La china – pantanillo 
Espíritu Santo 
San Francisco 
San Pedro-Alto de medina </t>
  </si>
  <si>
    <t>POR LIQUIDAR. (Seg. 27/08/2026) Liquidación Bilateral del 06/05/2026,  obra 100%, recursos 95.71% .Quedar a paz y salvo por todo concepto en todas la obligaciones originadas en el  presente convenio. Pendiente Cierre de Expediente.</t>
  </si>
  <si>
    <t>24AS111B1731</t>
  </si>
  <si>
    <t>TOLEDO</t>
  </si>
  <si>
    <t>APOYAR AL MUNICIPIO DE TOLEDO, CON EL SUMINISTRO DE MATERIALES POR PARTE DEL DEPARTAMENTO DE ANTIOQUIA PARA LLEVAR A CABO EL MEJORAMIENTO DE VÍAS TERCIARIAS
UBICADAS EN EL MUNICIPIO ASOCIADO</t>
  </si>
  <si>
    <t xml:space="preserve">VÍA LA FLORIDA                                          
RAMAL ALTO DEL TORO-EL MORAL
</t>
  </si>
  <si>
    <t xml:space="preserve">Se entregó todo el material - (12/06/2025) municipio reporta 99% avance de obra - pendiente de terminar bordillos, visita a campo para verificar obra y poder liquidar - terminado 100%, por liquidar . (Seg. 27/08/2026) Liquidación Bilateral del 27/03/2026, obra 100%,  recursos 95.70%. Quedar a paz y salvo por todo concepto en todas la obligaciones originadas en el  presente convenio. Pendiente Cierre de Expediente </t>
  </si>
  <si>
    <t>ADRIANA PATRICIA MUÑOZ LONDOÑO</t>
  </si>
  <si>
    <t>CAFETEROS</t>
  </si>
  <si>
    <t>24AS111B1979-1</t>
  </si>
  <si>
    <t>BURITICÁ</t>
  </si>
  <si>
    <t>FEDECAFETEROS</t>
  </si>
  <si>
    <t>ARTICULAR Y COORDINAR ESFUERZOS CON LA FEDERACIÓN NACIONAL DE
CAFETEROS DE COLOMBIA (COMO ADMINISTRADORA DEL FONDO NACIONAL DEL CAFÉ) - COMITÉ
DEPARTAMENTAL DE CAFETÉROS DE ANTIOQUIA, PARA EL SUMINISTRO DE MATERIALES POR PARTE
DEL DEPARTAMENTO DE ANTIOQUIA CON EL FIN DE LLEVAR A CABO EL MEJORAMIENTO DE VÍAS
TERCIARIAS EN LOS MUNICIPIOS CAFETEROS DEL DEPARTAMENTO DE ANTIOQUIA.</t>
  </si>
  <si>
    <r>
      <rPr>
        <rFont val="Calibri"/>
        <color rgb="FF000000"/>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 Seg.22/07/2026) </t>
    </r>
    <r>
      <rPr>
        <rFont val="Calibri"/>
        <color rgb="FF000000"/>
        <sz val="11.0"/>
      </rPr>
      <t xml:space="preserve">Se ha requerido a Comité de Cafeteros por 3 oportunidades. Se encuentran recopilando la documentación solicitada para liquidar el convenio. (Seg. 08/09/2026) El presupuesto es hasta $285.851.423, se entrega $252,176,318  lo que equivale al 100% financiero, acorde a lo ejecutado en obra .
</t>
    </r>
  </si>
  <si>
    <t>25AS111B2690</t>
  </si>
  <si>
    <t>APOYAR AL MUNICIPIO DE ZARAGOZA, CON EL
SUMINISTRO DE MATERIALES POR PARTE DEL
DEPARTAMENTO DE ANTIOQUIA PARA LLEVAR A CABO EL
MEJORAMIENTO DE VÍAS TERCIARIAS UBICADAS EN EL
MUNICIPIO ASOCIADO</t>
  </si>
  <si>
    <t>VÍA LOS CHIVOS PATO (05895VT40), 500 m</t>
  </si>
  <si>
    <t>SUSPENDIDO</t>
  </si>
  <si>
    <t xml:space="preserve">20/11/2025 se autorizó la entrega de todos los materiales - 09/02/2026 avance de obra 15% - 11/05/2026 prórroga por 3 meses, termina el 12/08/2026 - Seg-03/08/2026 aproximadamente un 70% de la obra - Informe Seguimiento # del 29/04/2026 Suspendido el 12/08/2026 hasta el 06/10/2026 (Seg.14/08.2026) Obra 64%, Recursos 100% convenio de materiales. 500 ml P.H (Seg. 08/09/2026) El presupuesto es hasta $175.00.000, se entrega $174.929.110, lo que equivale al 100% financiero, acorde a lo ejecutado en obra .
</t>
  </si>
  <si>
    <t>25AS111B2378</t>
  </si>
  <si>
    <t xml:space="preserve"> APOYAR AL MUNICIPIO DE MACEO, CON EL SUMINISTRO DE MATERIALES POR PARTE
DEL DEPARTAMENTO DE ANTIOQUIA PARA LLEVAR A CABO EL MEJORAMIENTO DE VÍAS TERCIARIAS
UBICADAS EN EL MUNICIPIO ASOCIADO.</t>
  </si>
  <si>
    <t xml:space="preserve">Via San Judas - Olivares (05425VT22) Vía Tres Piedras - La Londra - El Ingenio (05425VT23) Via San Laureano - San Lucas (05425VT28) Via Tres Piedras - San Cipriano - Sector La Aguada (05425VT42)
</t>
  </si>
  <si>
    <t>15/08/2025 se firmó acta de inicio el 12/08/2025 - 24/09/ en contratación _ 18/12/2025 avance de obra 50% - 24/04/2026 terminad0 100%, pendiente de visita a campo. (Seg. 13/08/2026) Acta de Terminación del 20/02/2026. (Seg. 08/09/2026) El presupuesto es hasta $350.00.000, se entrega $310.250.301,  lo que equivale al 100% financiero, acorde a lo ejecutado en obra .</t>
  </si>
  <si>
    <t>25AS111B2674</t>
  </si>
  <si>
    <t>APOYAR AL MUNICIPIO DE PUERTO TRIUNFO, CON EL SUMINISTRO DE MATERIALES POR PARTE DEL DEPARTAMENTO DE ANTIOQUIA PARA LLEVAR A CABO EL MEJORAMIENTO DE VÍAS TERCIARIAS UBICADAS EN EL MUNICIPIO ASOCIADO</t>
  </si>
  <si>
    <t>Vía rural acceso a la vereda honduras 05591VT04</t>
  </si>
  <si>
    <t>TERMINADO 100% (Seg.13/08/206) Cuenta con Informe de Visita Infraestructura y/o Servicios Públicos del 28/04/2026 con % obra del 100%. Pendiente Acta de Terminación y Liquidación. (Seg. 08/09/2026) El presupuesto es hasta $70.00.000, se entrega $69.788.123,  lo que equivale al 100% financiero, acorde a lo ejecutado en obra .</t>
  </si>
  <si>
    <t>25AS111B2673</t>
  </si>
  <si>
    <t>APOYAR AL MUNICIPIO DE MACEO, CON EL SUMINISTRO DE MATERIALES POR PARTE DEL DEPARTAMENTO DE ANTIOQUIA PARA LLEVAR A CABO EL MEJORAMIENTO DE VÍAS TERCIARIAS UBICADAS EN EL MUNICIPIO ASOCIADO</t>
  </si>
  <si>
    <t xml:space="preserve"> Vía Los Carmona - El Ingenio (05425VT48)
Vía Capilla Ingenio (05425VT47)</t>
  </si>
  <si>
    <t>TERMINADO 100% (Seg. 13/08/2026) Acta de Terminación del 20/02/2026. Pendiente liquidar . (Seg. 08/09/2026) El presupuesto es hasta $70.00.000, se entrega $67.478.812,  lo que equivale al 100% financiero, acorde a lo ejecutado en obra .</t>
  </si>
  <si>
    <t>25AS111B2687</t>
  </si>
  <si>
    <t>APOYAR AL MUNICIPIO DE YOLOMBÓ, CON EL SUMINISTRO DE MATERIALES POR PARTE DEL DEPARTAMENTO DE ANTIOQUIA PARA LLEVAR A CABO EL MEJORAMIENTO DE VÍAS TERCIARIAS UBICADAS EN EL MUNICIPIO ASOCIADO</t>
  </si>
  <si>
    <t>Vía Las Margaritas - Barbascal (Vereda Barbascal) (05890VT96)
Vía Paraje La Chaza- Vereda El Comino (Vereda Las Frias) (05890VT97)</t>
  </si>
  <si>
    <t>Pendiente de visita a campo para liquidar. (Seg. 13/08/202 6) Acta de Terminación del 20/02/2026. obra y Recursos 100% _  (Seg. 28/08/2026) Sigue pendiente la liquidación. (Seg. 08/09/2026) El presupuesto es hasta $175.000.000, se entrega $168.943.670, lo que equivale al 100% financiero, acorde a lo ejecutado en obra .</t>
  </si>
  <si>
    <t>25AS111B2770</t>
  </si>
  <si>
    <t>APOYAR AL MUNICIPIO DE SAN VICENTE FERRER, CON EL SUMINISTRO DE MATERIALES POR PARTE DEL DEPARTAMENTO DE ANTIOQUIA PARA LLEVAR A CABO EL MEJORAMIENTO DE VÍAS TERCIARIAS UBICADAS EN EL MUNICIPIO ASOCIADO</t>
  </si>
  <si>
    <t>• Vía Alto de la sepultura (05674VT36) - 150 metros
• Vía Alto del beque (05674VT65) - 50 metros
• Vía El canelo (05674VT23) – 100 metros
• Vía Santa ana (05674VT41) – 200 metros</t>
  </si>
  <si>
    <t>Prórroga 2, por 1 mes y 23 días, termina el 30/05/2026 _ (10/03/2026) obra 30% _ (24/04/2026) obra 53% _ (25/05/2026) obra 85%_ 05/06/2026 terminado, por liquidar, obra 85%. (Seg. 13/08/2026) Acta de Terminación del 01/06/2026,  Recursos del  75.79%,  obra del 100%. (Seg. 28/08/2026) La supervisión  fue trasladada del director León Darío Vélez Yépes  al profesional Róman Darío Franco Granda, mediante designación de supervisión No. 2026020032415 del 25 de agosto de 2026. (Seg. 08/09/2026) El presupuesto es hasta $350.00.000, se entrega $ lo que equivale al 100% financiero, acorde a lo ejecutado en obra .</t>
  </si>
  <si>
    <t>25AS111B2158</t>
  </si>
  <si>
    <t>GIRARDOTA</t>
  </si>
  <si>
    <t>APOYAR AL MUNICIPIO DE GIRARDOTA, CON EL
SUMINISTRO DE MATERIALES POR PARTE DEL DEPARTAMENTO DE
ANTIOQUIA PARA LLEVAR A CABO EL MEJORAMIENTO DE VÍAS TERCIARIAS
UBICADAS EN EL MUNICIPIO ASOCIADO</t>
  </si>
  <si>
    <t xml:space="preserve">Vía San Diego -
Jamundí Rieles (05308VT30)
</t>
  </si>
  <si>
    <t>(20/11/2025) se autorizó la entrega de todos los materiales. avance de obra 60%. (25/11/2025) pendiente liquidar. ERMINADO 100%. (04/06/2026) está terminado al 100%, pero esta pendiente de visita- (Seg. 03/08/2026) con Acta de Terminación del 23/11/2025 _ Por liquidar. (Seg. 08/09/2026) El presupuesto es hasta $350.00.000, se entrega $162.348.179,lo que equivale al 100% financiero, acorde a lo ejecutado en obra .</t>
  </si>
  <si>
    <t>25AS111B2655</t>
  </si>
  <si>
    <t>APOYAR AL MUNICIPIO DE OLAYA, CON EL SUMINISTRO DE MATERIALES POR
PARTE DEL DEPARTAMENTO DE ANTIOQUIA PARA LLEVAR A CABO EL MEJORAMIENTO DE
VÍAS TERCIARIAS UBICADAS EN EL MUNICIPIO ASOCIADO</t>
  </si>
  <si>
    <t>* OLAYA - QUEBRADA ARRIBA (05501VT48) - 130 metros
* LA YE QUEBRADASECA AGUAS ABAJO (05501VT24) 100 metros
*LOPERA - LA COLCHOA (05501VT23) - 70 metros</t>
  </si>
  <si>
    <t>30/01/2026 Avance de obra 38%, se les entregó todo el material - 10/04/2026 avance de obra 50%, pendienvisita a campo -04/06/2026 avance de obra 70%, sigue pendiente la visita _ Seg. 03/08/2026 con Acta de Terminación del 05/01/2026, pendiente visita obra 70% Recursos del 100%. (Seg. 08/09/2026) El presupuesto es hasta $105.00.000, se entrega $90.533.928 lo que equivale al 100% financiero, acorde a lo ejecutado en obra .</t>
  </si>
  <si>
    <t>25AS111B2618</t>
  </si>
  <si>
    <t>APOYAR AL MUNICIPIO DE SAN JERÓNIMO, CON EL SUMINISTRO DE MATERIALES POR PARTE DEL DEPARTAMENTO DE ANTIOQUIA PARA LLEVAR A CABO EL MEJORAMIENTO DE VÍAS TERCIARIAS UBICADAS EN EL MUNICIPIO ASOCIADO</t>
  </si>
  <si>
    <t>• VÍA MEDELLÍN EBÉJICO MEZTIZAL (05656VT06) - 150 metros
• VÍA MATASANO (05656VT27) - 150 metros
• VÍA MEDELLÍN SAN JERÓNIMO PIEDRA NEGRA (05656VT19) - 100 metros
• VÍA MONTEFRIO (05656VT24) - 100 metros</t>
  </si>
  <si>
    <t>(05/02/2026) obra 32%, (24/04/2026) obra 70% (Seg. 18/08/206) Obra y Recursos 100%, pendiente: Informes finales del Municpio y documentos para liquidar.(Seg. 27/08/2026) Acta de Terminación del 29/12/2025. Pendiente iniciar proceso de liquidación. (Seg. 08/09/2026) El presupuesto es hasta $350.00.000, se entrega $173.931.362, lo que equivale al 100% financiero, acorde a lo ejecutado en obra .</t>
  </si>
  <si>
    <t>25AS111B2620</t>
  </si>
  <si>
    <t>SOPETRÁN</t>
  </si>
  <si>
    <t>APOYAR AL MUNICIPIO DE SOPETRÁN, CON EL SUMINISTRO DE MATERIALES POR PARTE DEL DEPARTAMENTO DE ANTIOQUIA PARA LLEVAR A CABO EL MEJORAMIENTO DE VÍAS TERCIARIAS UBICADAS EN EL MUNICIPIO ASOCIADO</t>
  </si>
  <si>
    <t>VÍA SOPETRÁN - ROJAS - CHACHAFRUTO (05761VT13) - 110 metros
RAMAL A HORIZONTE (05761VT10) 110 metros
 VÍA A BEJUCO - PALOGRANDE (05761VT11) - 110 metros
RAMAL A HORIZONTE (05761VT10) 70 metros
VÍA SOPETRÁN LA OTRA BANDA - EL POTRERO (05761VT19) - 100 metros</t>
  </si>
  <si>
    <t>(30/01/2026) Avance de obra 50%, se les entregó todo el materia . (10/04/2026) avance de obra 70%, pendienvisita a campo. (04/06/2026) sigue pendiente la visita. (Seg. 03/08/2026) con Acta de Terminación del 29/12/2025, pendiente de visita obra 70 % Recursos 40%. (Seg. 08/09/2026) El presupuesto es hasta $350.00.000, se entrega $1604.081.495 lo que equivale al 100% financiero, acorde a lo ejecutado en obra .</t>
  </si>
  <si>
    <t>25AS111B2619</t>
  </si>
  <si>
    <t>APOYAR AL MUNICIPIO DE SANTA FE DE ANTIOQUIA, CON EL SUMINISTRO DE MATERIALES POR PARTE DEL DEPARTAMENTO DE ANTIOQUIA PARA LLEVAR A CABO EL MEJORAMIENTO DE VÍAS TERCIARIAS UBICADAS EN EL MUNICIPIO ASOCIADO</t>
  </si>
  <si>
    <t>• Valle de Toledo – Alto de Chiri (05107VT03)</t>
  </si>
  <si>
    <t>(28/04/2026) TERMINADO 100%, pendiente visita . (Seg.03/08/2026) con Acta de Terminación del 29/12/2025, pendiente de visita. (Seg. 08/09/2026) El presupuesto es hasta $350.00.000, se entrega $168.075.093,  lo que equivale al 100% financiero, acorde a lo ejecutado en obra .</t>
  </si>
  <si>
    <t>JUAN MIGUEL GÓMEZ ARBELÁEZ</t>
  </si>
  <si>
    <t>JERICO</t>
  </si>
  <si>
    <t>ARTICULAR Y COORDINAR ESFUERZOS ENTRE EL DEPARTAMENTO DE ANTIOQUIA Y EL MUNICIPIO DE JERICÓ, PARA LA EJECUCIÓN DEL MEJORAMIENTO DE VÍAS RURALES UBICADAS EN EL MUNICIPIO ASOCIADO.</t>
  </si>
  <si>
    <t>vía de terciaría, 60AN04-1-1, Tramo 1 sector Castalia
Conexión Calle 9 - Av Circunvalar, Tramo 2</t>
  </si>
  <si>
    <t>Se trasladaron $214.750.280 de recursos al IDEA (100%). (18/02/2026) Se realizó visita técnica. Se realizaron 137m en la vía la castalia - (Tramo 1). Se realizaron 60m en la via Conexión Calle 9 - Av Circunvalar (Tramo 2). (5/01/2026) se realizó acta de terminación. Reintegraron rendimientos financieros hasta el 30/06/2026. pendiente cancelacion de la cuenta y egreso de pago a los contratistas. (10/07/2026) primera requerimiento solicitud documentos para liquidar (28/04/2026) terminado 100%, por liquidar, con acta de terminación del 31/12/2025 . (Seg. 28/08/2026) Por liquidar, para lo cual se cuenta con el apoyo de Margarita Rosa Lopera.</t>
  </si>
  <si>
    <t>TAMESIS</t>
  </si>
  <si>
    <t>CONVENIO INTERADMINISTRATIVO PARA LA ADECUACIÓN DE LA CARRERA 9 DEL MUNICIPIO DE TÁMESIS, MEDIANTE LA IMPLEMENTACIÓN DE UNA INTERVENCIÓN DE URBANISMO TÁCTICO DENOMINADA CALLE MITOLÓGICA</t>
  </si>
  <si>
    <t>Carrera 9 Calle Mitologica</t>
  </si>
  <si>
    <t>Se trasladaron los recursos al idea (100%)
Se realizó suspension N°1 por un (1) mes por el cambioen las redes de acueducto y alcantarillado en la carrera 9 con fecha de reaunudación el 27/02/2026
16/02/2026 se realizó visita técnica
21/07/2026 el municipio esta subsanado documentos para el desembolso
21/07/2026 primer requerimiento de documentos para liquidar</t>
  </si>
  <si>
    <t>25AS111B2089</t>
  </si>
  <si>
    <t>YARUMAL</t>
  </si>
  <si>
    <t>"APOYAR AL MUNICIPIO DE YARUMAL, CON EL SUMINISTRO DE MATERIALES POR PARTE DEL DEPARTAMENTO DE ANTIOQUIA PARA LLEVAR A CABO EL MEJORAMIENTO DE VÍAS TERCIARIAS UBICADAS EN EL MUNICIPIO ASOCIADO"</t>
  </si>
  <si>
    <t xml:space="preserve">VIA CORCOVADO
VIA LA PALOMA-MORTIÑAL
VIA SANTA RITA LA SIRIA
VIA LA ESTRELLA
VIA CEDEÑO-LOS POMOS
</t>
  </si>
  <si>
    <t>TERMINADO 100%, por liquidar (Seeg. 20/08/2026) Informe de Seguimiento # 9 del 20/10/1026 obra 82% y  recursos 100%, Acta de Terminación del 22/10/2025 - Pendiente de asignación de abogado para liquidar. (Seg. 08/09/2026) El presupuesto es hasta $350.00.000, se entrega $298.240.599, lo que equivale al 100% financiero, acorde a lo ejecutado en obra .</t>
  </si>
  <si>
    <t xml:space="preserve"> ARTICULAR Y COORDINAR ESFUERZOS ENTRE EL DEPARTAMENTO DE ANTIOQUIA
Y EL MUNICIPIO DE ALEJANDRÍA, PARA EL MEJORAMIENTO DE VÍAS RURALES UBICADAS EN
EL MUNICIPIO ASOCIADO.</t>
  </si>
  <si>
    <t xml:space="preserve">VEREDA LA PAVA 
</t>
  </si>
  <si>
    <t xml:space="preserve">(27/10/2025) terminado 100%, pendiente desembolso 2, (05/11/2025) se hizo segundo desembolso, con acta de terminación en mesa de ayuda, por liquidar  (Seg. 14/08/2026) Obra y Recursos 100%, Pago pendiente:NO, pendiente: Informes finales del Municpio y documentos para liquidar. </t>
  </si>
  <si>
    <t>25AS111B2218</t>
  </si>
  <si>
    <t>EL CARMEN DE VIBORAL</t>
  </si>
  <si>
    <t xml:space="preserve"> АPOYAR AL MUNICIPIO DE EL CARMEN DE VIBORAL, CON EL SUMINISTRO DE MATERIALES POR PARTE DEL DEPARTAMENTO DE ANTIOQUIA PARA LLEVAR A CABO EL MEJORAMIENTO DE VÍAS TERCIARIAS UBICADAS EN EL MUNICIPIO ASOCIADO.</t>
  </si>
  <si>
    <t xml:space="preserve">Vía La Escuela Juan Nicolas Gomez Hoyos (05148VT106) – 500m
</t>
  </si>
  <si>
    <t>19/11/2025 TERMINADO 100% por liquiar. (Seg. 08/09/2026) El presupuesto es hasta $350.00.000, se entrega $159.305.223, lo que equivale al 100% financiero, acorde a lo ejecutado en obra .</t>
  </si>
  <si>
    <t>25AS111B2349</t>
  </si>
  <si>
    <t xml:space="preserve"> APOYAR AL MUNICIPIO DE RIONEGRO, CON EL SUMINISTRO DE MATERIALES POR
PARTE DEL DEPARTAMENTO DE ANTIOQUIA PARA LLEVAR A CABO EL MEJORAMIENTO DE VÍAS TERCIARIAS
UBICADAS EN EL MUNICIPIO ASOCIADO.</t>
  </si>
  <si>
    <t xml:space="preserve">El Hoyito (05615VT139) 183m Callejón Los Franco Montoya -Pontezuela - Alto del Perro - Sector Milfrut (05615VT274) 42m Callejón Los Diaz Y Otálvaros (05615VT270) 200m Sector Quirama (Cabañas Club - Partidas San Antonio-Llanogrande-Flor Caribe) (05615VT275) 100m Y Parte Alta Vía Tres Puertas (05615VT138) 84m Ramal Paradero (05615VT194) 35m Sector La Corporación, Vía Fontibón - Las Cuchillas Mas Alla de la Cruz Entrando a la Mano Derecha - Ramal La Guadalupana (05615VT271) 65m Y Parte Alta Vía Tres Puertas (05615VT138) 230m Callejón Blanca Panda La Golodrina - Frente a la Finca 73 (Alto de Rafael La Celia) (05615VT281) 90m Callejón Los Balvin o Santamaria (05615VT279) 120m Callejón Los Mejía (05615VT282) 150m Tanque Alagro - Los pinos (05615VT092) 110m La Escondida (05615VT149) 70m Tanque Alagro - Los pinos (05615VT092) 160m Callejón Álamo o quiebrapatas (05615VT284) 42m
</t>
  </si>
  <si>
    <t>(15/08/2025) se firmó acta de inicio el 13/08/2025 (23/09/2025) se les envio primer pedido de materiales el 16/09/2025 (18/12/2025) obra 80% (26/01/2026) obra 90%, por liquidar (05/02/2026) obra 96% (05/06/2026) terminado 100%, por liquidar (Seg. 14/08/2026) Obra y Recursos 100%, pendiente: Informes finales del Municpio y documentos para liquidar.</t>
  </si>
  <si>
    <t>25AS111B2696</t>
  </si>
  <si>
    <t>APOYAR AL MUNICIPIO DE ALEJANDRÍA, CON EL SUMINISTRO DE MATERIALES POR PARTE DEL DEPARTAMENTO DE ANTIOQUIA PARA LLEVAR A CABO EL MEJORAMIENTO DE VÍAS TERCIARIAS UBICADAS EN EL MUNICIPIO ASOCIADO</t>
  </si>
  <si>
    <t>• VÍA A SAN JOSÉ (05021VT10) - 300 metros</t>
  </si>
  <si>
    <t>(29/01/2025) Terminado 100% pendiente por liquidar  (Seg. 14/08/2025) con Acta de Terminación  con obra 70%, recursos 100 %,  pendiente informe final Municipio, visita de la supervisora para liquidar. (Seg. 08/09/2026) El presupuesto es hasta $105.00.000, se entrega $98.622.781,  lo que equivale al 100% financiero, acorde a lo ejecutado en obra .</t>
  </si>
  <si>
    <t>25AS111B2634</t>
  </si>
  <si>
    <t>APOYAR AL MUNICIPIO DE MARINILLA, CON EL SUMINISTRO DE MATERIALES POR PARTE DEL DEPARTAMENTO DE ANTIOQUIA PARA LLEVAR A CABO EL MEJORAMIENTO DE VÍAS TERCIARIAS UBICADAS EN EL MUNICIPIO ASOCIADO</t>
  </si>
  <si>
    <t>• Vía escuela Vereda El Rosario (05440VT37)
• Vía Las Mercedes La Aldana (05440VT08)
• Vía Esperanza Esmeralda – Chagualo – Las Mercedes (05440VT27)
• Vía Cimarronas – Vía El Carmen (05440VT14)
• Vía Marinilla El Santuario Carmen de Viboral – San Juan Bosco – Gaviria – Vía Marinilla Nuevo Peñol (05440VT28)</t>
  </si>
  <si>
    <t xml:space="preserve">
(05/02/2026) obra 32%, (24/04/2026) obra 70% (Seg. 18/08/2026) Obra y Recursos 100%,  pendiente: Informes finales del Municipio y documentos para liquidar.(Seg. 08/09/2026) El presupuesto es hasta $350.00.000, se entrega $ lo que equivale al 100% financiero, acorde a lo ejecutado en obra .(Seg. 08/09/2026) El presupuesto es hasta $175.00.000, se entrega $174.916.052,  lo que equivale al 100% financiero, acorde a lo ejecutado en obra .</t>
  </si>
  <si>
    <t>25AS111B2676</t>
  </si>
  <si>
    <t>FRONTINO</t>
  </si>
  <si>
    <t>APOYAR AL MUNICIPIO DE FRONTINO, CON EL SUMINISTRO DE MATERIALES POR
PARTE DEL DEPARTAMENTO DE ANTIOQUIA PARA LLEVAR A CABO EL MEJORAMIENTO DE
VÍAS TERCIARIAS UBICADAS EN EL MUNICIPIO ASOCIADO</t>
  </si>
  <si>
    <t>• Vía La Chapa - La Culebra (05541VT149)
• Vía Partidas La Culebra - Escuela La Culebra (05541VT24)</t>
  </si>
  <si>
    <t xml:space="preserve">Terminado, por liquidar - (Seg. 05/08/2026) con Acta de Inicio y designación de supervisión - Falta informes de seguimiento en adelante en Mesa de ayuda. (Seg. 14/08/2026) Obra 100 % - Recursos 100 %  Pendiente: documentos mpio, visitar y liquidar. </t>
  </si>
  <si>
    <t>25AS111B2680</t>
  </si>
  <si>
    <t>PEQUE</t>
  </si>
  <si>
    <t>APOYAR AL MUNICIPIO DE PEQUE, CON EL SUMINISTRO DE MATERIALES POR
PARTE DEL DEPARTAMENTO DE ANTIOQUIA PARA LLEVAR A CABO EL MEJORAMIENTO DE
VÍAS TERCIARIAS UBICADAS EN EL MUNICIPIO ASOCIADO</t>
  </si>
  <si>
    <t>• VÍA “Y” DE SAN JUAN JULIANCITO – RENEGADO VALLE – (05543VT12) - 100 metros
• VÍA FILO DE JERIGUA – LA NUEVA LLANADA (05543VT02) - 150 metros
• VÍA PARTIDA PUENTE DE SAN JUAN – LA GUADUA – (05543VT09) - 84 metros
• VÍA “Y” LLANO DEL PUEBLO – FALDAS DEL CAFÉ - (05543VT13) – 83 metros
• VÍA EL CHUMBIMBO – LOMA DEL SAUCE – (05543VT01) – 83 metros</t>
  </si>
  <si>
    <t>(28/04/2026) obra 60% _ (Seg. 14/08/2026) Obra 80%, Recursos 100 %, Pendiente: que el municipio aporte la documentación del avance de obra, Visita del supervisos y liquidar."(Seg. 08/09/2026) El presupuesto es hasta $175.00.000, se entrega $129.594.883,  lo que equivale al 100% financiero, acorde a lo ejecutado en obra .</t>
  </si>
  <si>
    <t>25AS111B2682</t>
  </si>
  <si>
    <t>APOYAR AL MUNICIPIO DE DABEIBA, CON EL SUMINISTRO DE MATERIALES POR
PARTE DEL DEPARTAMENTO DE ANTIOQUIA PARA LLEVAR A CABO EL MEJORAMIENTO DE
VÍAS TERCIARIAS UBICADAS EN EL MUNICIPIO ASOCIADO</t>
  </si>
  <si>
    <t>VIA LLANOGRANDE 202 MTS 05234VT02
VÍA RAMAL ACUEDUCTO LLANOGRANDE 98 MTS 05234VT10</t>
  </si>
  <si>
    <t>"TERMINADO 100% - Pendiente Informe de Seguimiento Nro. 01 (Seg. 14/08/2026) Obra 100 % - Recursos 100% - Pendiente documentos del Municipio, visita y liquidar.</t>
  </si>
  <si>
    <t>25AS111B2681</t>
  </si>
  <si>
    <t>GIRALDO</t>
  </si>
  <si>
    <t>APOYAR AL MUNICIPIO DE GIRALDO, CON EL SUMINISTRO DE MATERIALES POR
PARTE DEL DEPARTAMENTO DE ANTIOQUIA PARA LLEVAR A CABO EL MEJORAMIENTO DE
VÍAS TERCIARIAS UBICADAS EN EL MUNICIPIO ASOCIADO</t>
  </si>
  <si>
    <t>VIA GIRALDO BONANZA 130 MTS 05306VT10
VIA GIRALDO - LA SIERRA 200 MTS 05306VT04
VIA GIRALDO - LA SIERRA 170 MTS 05306VT09</t>
  </si>
  <si>
    <t>28/04/2026 terminado 100%, pendiente visita a campo para poder liquidar - Seg 05/08/2026 Pendiente Informe de Seguimiento Nro. 01 (Seg. 14/08/2026) Obra 100 %, Recursos 100, Pendiente documentos del Municipio, visita y liquidar. (Seg. 08/09/2026) El presupuesto es hasta $175.00.000, se entrega $174.991.697,  lo que equivale al 100% financiero, acorde a lo ejecutado en obra .</t>
  </si>
  <si>
    <t>25AS111B2678</t>
  </si>
  <si>
    <t>APOYAR AL MUNICIPIO DE CAÑASGORDAS, CON EL SUMINISTRO DE MATERIALES POR PARTE DEL DEPARTAMENTO DE ANTIOQUIA PARA LLEVAR A CABO EL MEJORAMIENTO DE VÍAS TERCIARIAS UBICADAS EN EL MUNICIPIO ASOCIADO</t>
  </si>
  <si>
    <t>Imantago - San Luis
(Sector la S ) 100 MTS 05138VT11
La Cusuti - Buenos
Aires Sector La Ceiba 50 MTS 05138VT36
La Soledad (Sector La
Curva ) 50 MTS 05138VT32.
La Estrella parte Baja 50 MTS 05138VT25
La Aguada -
Chupadero 50 MTS 05138VT51
El Socorro 100 MTS 05138VT10
Imantago - San Luis (
Sector la Escuela
loma de la alegria) 50 MTS 05138VT11
La Soledad ( Sector
la Escuela) 50 MTS 05138VT32.9</t>
  </si>
  <si>
    <t>TERMINADO 100% - (Seg 05/08/2026) Pendiente de subir información a Mesa de Ayuda_ no tiene Informes de Seguimientos; sin embargo, en el informe de entrega Dalis Indica que realizó 1 (Seg. 14/08/2026) Obra 100 % , Recursos 100%, Pendiente documentos del Municipio, visita y liquidar. (Seg. 08/09/2026) El presupuesto es hasta $175.00.000, se entrega $161.378.264, lo que equivale al 100% financiero, acorde a lo ejecutado en obra .</t>
  </si>
  <si>
    <t>25AS111B2641</t>
  </si>
  <si>
    <t>CAICEDO</t>
  </si>
  <si>
    <t>APOYAR AL MUNICIPIO DE CAICEDO, CON EL SUMINISTRO DE MATERIALES POR PARTE DEL DEPARTAMENTO DE ANTIOQUIA PARA LLEVAR A CABO EL MEJORAMIENTO DE VÍAS TERCIARIAS UBICADAS EN EL MUNICIPIO ASOCIADO</t>
  </si>
  <si>
    <t>• VÍA SECTOR LAS TRAMPAS – LA GUARANA- (05125VT20) - 50 metros
• VÍA SECTOR LA MONTAÑITA – LLANON (05125VT19) - 50 metros
• VÍA CAICEDO – NOQUE (EL TAMBOR – LA NOQUE) (05125VT14) - 100 metros</t>
  </si>
  <si>
    <t>TERMINADO 100% Seg 05/08/2026 Pendiente desde Informe de Seguimiento Nro. 01 (Seg. 14/08/2026) Obra 100 %, Recursos 100%, Pendiente documentos del Municipio, visita y liquidar. (Seg. 08/09/2026) El presupuesto es hasta $70.00.000, se entrega $69.999.049,  lo que equivale al 100% financiero, acorde a lo ejecutado en obra .</t>
  </si>
  <si>
    <t>JAC</t>
  </si>
  <si>
    <t>25AS111B2784</t>
  </si>
  <si>
    <t>JAC VEREDA LA SOLEDAD</t>
  </si>
  <si>
    <t>ARTICULAR Y COORDINAR ESFUERZOS ENTRE EL DEPARTAMENTO DE ANTIOQUIA Y LA JUNTA DE ACCIÓN COMUNAL VEREDA LA SOLEDAD PARA LA EJECUCIÓN DEL MEJORAMIENTO VIAL EN EL MUNICIPIO DE CAICEDO ANTIOQUIA.</t>
  </si>
  <si>
    <t>Vía Caicedo La Salazar Centro Educativo Rural La Manga (05125VT10) y Sector El Llano - El Calvario (05125VT21</t>
  </si>
  <si>
    <t>(Seg. 10/08/2026) recurso 95% - ejecución 100% - Pendiente tercer desembolso del 5%, hasta que allegen el RUT actualizado del nuevo presidente del la JAC, ya se hizo visita. (Seg. 14/08/2026) Pendiente documentos del Municipio, visita y liquidar. (Seg. 09/09/2026) Sigue pendiente el desembolso 3.</t>
  </si>
  <si>
    <t>JOHAN ALBEIRO SÁNCHEZ SÁNCHEZ</t>
  </si>
  <si>
    <t>25AS111B2766</t>
  </si>
  <si>
    <t>JARDÍN</t>
  </si>
  <si>
    <t>APOYAR AL MUNICIPIO DE JARDÍN CON EL SUMINISTRO DE MATERIALES POR PARTE DEL DEPARTAMENTO DE ANTIOQUIA PARA LLEVAR A CABO EL MEJORAMIENTO  DE VÍAS TERCIARIAS UBICADAS EN EL MUNICIPIO ASOCIADO.</t>
  </si>
  <si>
    <t>Vía La Arboleda - Verdún las Margaritas (05364VT89) – 300 metros
Vía Montecristo (05364VT53) - 200 metros</t>
  </si>
  <si>
    <t>(22/05/2026 ejecutado 100% obra / 100% financiero , en proceso de liquidación . (Seg. 24/07/2026)- pendiente de visita para recibir y liquidar (Seg. 28/08/2026)  Acta de terminación del  30/12/20025, Se recibe los documentos del municipio para iniciar la liquidación el 01/07/2026. (Seg. 08/09/2026) El presupuesto es hasta $175.00.000, se entrega $174.957.116,  lo que equivale al 100% financiero, acorde a lo ejecutado en obra .</t>
  </si>
  <si>
    <t>25AS111B2769</t>
  </si>
  <si>
    <t>HISPANIA</t>
  </si>
  <si>
    <t>APOYAR AL MUNICIPIO DE HISPANIA, CON EL SUMINISTRO DE MATERIALES POR PARTE DEL DEPARTAMENTO DE ANTIOQUIA PARA LLEVAR A CABO EL MEJORAMIENTO DE VÍAS TERCIARIAS UBICADAS EN EL MUNICIPIO ASOCIADO</t>
  </si>
  <si>
    <t>• Vía vereda San Joaquín (05353VT25) 500 m</t>
  </si>
  <si>
    <r>
      <rPr>
        <rFont val="Calibri"/>
        <color theme="1"/>
        <sz val="11.0"/>
      </rPr>
      <t>22/05/2026 ejecurado 100% obra / 100% financiero , en proceso de liquidación-</t>
    </r>
    <r>
      <rPr>
        <rFont val="Calibri"/>
        <color rgb="FFFF0000"/>
        <sz val="11.0"/>
      </rPr>
      <t xml:space="preserve">Seg. 24/07/2026- pendiente de visita para recibir y liquidar. </t>
    </r>
    <r>
      <rPr>
        <rFont val="Calibri"/>
        <color theme="1"/>
        <sz val="11.0"/>
      </rPr>
      <t>(Seg. 08/09/2026) El presupuesto es hasta $175.00.000, se entrega $174.972.233,  lo que equivale al 100% financiero, acorde a lo ejecutado en obra .</t>
    </r>
  </si>
  <si>
    <t>25AS111B2768</t>
  </si>
  <si>
    <t>APOYAR AL MUNICIPIO DE SAN PEDRO DE URABÁ, CON EL SUMINISTRO DE MATERIALES POR PARTE DEL DEPARTAMENTO DE ANTIOQUIA PARA LLEVAR A CABO EL MEJORAMIENTO DE VÍAS TERCIARIAS UBICADAS EN EL MUNICIPIO ASOCIADO</t>
  </si>
  <si>
    <t>Vía Terciaria Santa Catalina- Villanueva (Córdoba) - (05665VT32) – 500 metros</t>
  </si>
  <si>
    <t>(22/05/2026) obray financiero 100% , en proceso de liquidación - ( Seg 24/07/2026)_ El municipio deberá entregar documentos para liquidar con la inversión total de los recursos en especie entregados por el departamento - Con esta nota se recibe el proceso por parte de la sipervisora Dalis. (Seg. 08/09/2026) El presupuesto es hasta $175.00.000, se entrega $174.983.391 la obra va n un 20% . (Seg. 26/08/2026) La supervisión se reasigno de Dalis Milena Hincapié Piedrahita, al ingeniero Cristian Camilo Quirama Henao, el 26/08/2026, radicado 2026020032598</t>
  </si>
  <si>
    <t>25AS111B2159</t>
  </si>
  <si>
    <t>APOYAR AL MUNICIPIO DE EL PEÑOL, CON EL
SUMINISTRO DE MATERIALES POR PARTE DEL DEPARTAMENTO DE
ANTIOQUIA PARA LLEVAR A CABO EL MEJORAMIENTO DE VÍAS TERCIARIAS
UBICADAS EN EL MUNICIPIO ASOCIADO</t>
  </si>
  <si>
    <t xml:space="preserve">VÍA LA CHAPA
VÍA LOS JARAMILLOS
VIA PALESTINA
VÍA RUTA NATURALEZA Y
EMBALSES
VIA SAN VICENTE-EL PEÑOL
</t>
  </si>
  <si>
    <t>(04/02/2026)  obra 95%. TERMINADO 100% - (Seg. 14/09/2026) Liquidación Bilateral del 10/06/2026, obra 100% recursos 86.98%. Quedar a Paz y Salvo. Cierre de Expediente 31/07/2026</t>
  </si>
  <si>
    <t xml:space="preserve"> "ARTICULAR Y COORDINAR ESFUERZOS ENTRE EL DEPARTAMENTO DE
ANTIOQUIA Y EL MUNICIPIO DE COCORNÁ PARA EL MEJORAMIENTO DE VIAS RURALES,
UBICADAS EN EL MUNICIPIO ASOCIADO".</t>
  </si>
  <si>
    <t xml:space="preserve">VIA SANTA BÁRBARA C.E.R EL MOLINO CÓDIGO 05197VT56,
</t>
  </si>
  <si>
    <t>(17/04/2026) avance de obra 95%, _ (Seg.24/07/2026) Se realizó cambio de supervisor al servidor Juan Miguel Gómez Arbelaez, cuenta con el apoyo de Jaime Arturo Ospina Giraldo.  Pendientes visita, el informe final, para proceder con la liquidación. (Seg.18/08/2026) continúa pendiente el desembolso del primer desembolo de recursos los cuales están depositados ene l IDEA en un 100%</t>
  </si>
  <si>
    <t>25AS111B2350</t>
  </si>
  <si>
    <t>APOYAR AL MUNICIPIO DE NARIÑO, CON EL SUMINISTRO DE MATERIALES POR PARTE
DEL DEPARTAMENTO DE ANTIOQUIA PARA LLEVAR A CABO EL MEJORAMIENTO DE VÍAS TERCIARIAS
UBICADAS EN EL MUNICIPIO ASOCIADO.</t>
  </si>
  <si>
    <t xml:space="preserve">• Vía Nariño - Guamito (05483VT04) - 300m
• Vía El Recreo - Guamal (05483VT03) - 60m
• Vía Nariño - El Llano - Pedrera (05483VT128) - 60m
</t>
  </si>
  <si>
    <t>TERMINADO 100%, (Seg. 21/07/2026) Se envió Liquidación para revisión de la D. de Asuntos Legales el 27-04-2026 . (Seg .18/08/2026) Liquidación Bilateral del 13/08/2026 obra del 100% recursos 98.48 % - Acta de Expediente del  13/08/2026. (Seg. 08/09/2026) El presupuesto es hasta $350.00.000, se entrega $144.772.272 lo que equivale al 100% financiero, acorde a lo ejecutado en obra .</t>
  </si>
  <si>
    <t>25AS111B2664</t>
  </si>
  <si>
    <t>APOYAR AL MUNICIPIO DE LA UNIÓN . CON EL SUMINISTRO DE MATERIALES POR
PARTE DEL DEPARTAMENTO DE ANTIOQUIA PARA LLEVAR A CABO EL MEJORAMIENTO DE
VÍAS TERCIARIAS UBICADAS EN EL MUNICIPIO ASOCIADO</t>
  </si>
  <si>
    <t>• Vía San Juan (El Alto) - Finca Panamá, sector "La Paulina" 05400VT89
• Vía Nacional - Mazorcal (Picados) sector puente Rio Piedras 05400VT38
• Vía San Miguel A. (Alto Del Dulce) - Chascarala (Sector la capilla - Escuela) 05400VT193
Las cuales representan 500 metros lineales de vías terciarias.</t>
  </si>
  <si>
    <t xml:space="preserve">(Seg. 10/07/2026) Liquidación Bilateral del 10/06/2026. obra 100%, recurso 99.99%. Paz y Salvo.   (Seg. 08/09/2026) El presupuesto es hasta $175.00.000, se entrega $174.979.618,  lo que equivale al 100% financiero, acorde a lo ejecutado en obra .
Ciere de Expediente 31/07/2026 " </t>
  </si>
  <si>
    <t>25AS111B2663</t>
  </si>
  <si>
    <t>APOYAR AL MUNICIPIO DE EL PEÑOL, CON EL
SUMINISTRO DE MATERIALES POR PARTE DEL
DEPARTAMENTO DE ANTIOQUIA PARA LLEVAR A CABO
EL MEJORAMIENTO DE VÍAS TERCIARIAS UBICADAS EN
EL MUNICIPIO ASOCIADO.</t>
  </si>
  <si>
    <t>TERMINADO 100%, por liquidar. (Seg. 08/09/2026) El presupuesto es hasta $175.00.000, se entrega $152.109.584, lo que equivale al 100% financiero, acorde a lo ejecutado en obra. (Seg. 14/09/2026) Liquidación  Bilateral del 24/06/2026, obra 100%, recurso 86.92%, Queda a Paz y Salvo. Cierre Expediente 31/07/2026</t>
  </si>
  <si>
    <t>25AS111B2662</t>
  </si>
  <si>
    <t>APOYAR AL MUNICIPIO DE SAN CARLOS, CON EL SUMINISTRO DE MATERIALES POR
PARTE DEL DEPARTAMENTO DE ANTIOQUIA PARA LLEVAR A CABO EL MEJORAMIENTO DE
VÍAS TERCIARIAS UBICADAS EN EL MUNICIPIO ASOCIADO</t>
  </si>
  <si>
    <t>• Vía Vallejuelo – El Tabor (05649VT02)
• Vía El Chocó – Hortoná (05649VT07)
• Vía El Jordán – La Luz (05649VT25)
• Vía La Holanda – Agua Linda (05649VT27</t>
  </si>
  <si>
    <t>(17/04/2026)  obra 60%, (Seg. 21/07/2026) Acta de terminación 23/01/2026, Falta informe final del municipio, falta visita de Campo, supervisor JUAN MIGUEL GÓMEZ ARBELÁEZ y con el apoyo de Jaime Arturo_con ejecución del 70% y financiera del 100% (Seg. 18/08/2026) Obra 80%, Recursos del 100%. (Seg. 08/09/2026) Jaime Informa que realizó visita y la obra esta al 100%, esta a la espera del informe final para liquidar. (Seg. 14/09/2026) el 14/09/2026 el supervisor recibio el informe del municipio con el cual iniciará la liqudiación.</t>
  </si>
  <si>
    <t>25AS111B2689</t>
  </si>
  <si>
    <t>APOYAR AL MUNICIPIO DE NARIÑO, CON EL SUMINISTRO DE MATERIALES POR PARTE DEL DEPARTAMENTO DE ANTIOQUIA PARA LLEVAR A CABO EL MEJORAMIENTO DE VÍAS TERCIARIAS UBICADAS EN EL MUNICIPIO ASOCIADO</t>
  </si>
  <si>
    <t>• Nariño – Guaimito</t>
  </si>
  <si>
    <t>TERMINADO 100%, (Seg. 21/07/2026) _ Liquidado Bilateral el 14/05/2026, obra 100%, recursos 99.89%. Quedan a Paz y Salvo.  Cierre de expediente el 31/07/2026.</t>
  </si>
  <si>
    <t>25AS111B2226</t>
  </si>
  <si>
    <t>SAN ANDRÉS DE CUERQUIA</t>
  </si>
  <si>
    <t>APOYAR AL MUNICIPIO DE SAN ANDRÉS DE CUERQUIA,
CON EL SUMINISTRO DE MATERIALES POR PARTE DEL DEPARTAMENTO DE
ANTIOQUIA PARA LLEVAR A CABO EL MEJORAMIENTO DE VÍAS TERCIARIAS.
UBICADAS EN EL MUNICIPIO ASOCIADO.</t>
  </si>
  <si>
    <t xml:space="preserve">Vía Chorrera
(05647VT06) 200 metros; Vía Loma del Indio (05647VT08) 400 metros; Vía Aguacatal
(05647VT10) 200 metros; Vía Travesías (05647Vri6) 200 metros
</t>
  </si>
  <si>
    <t>24/04/2026 TERMINADO 100%, pendiente visita de obra para la primera semana de mayo. (Seg. 27/08/2026) Acta de Terminación del 12/12/2025. pendiente de iniciar el proceso de liquidación. (Seg. 08/09/2026) El presupuesto es hasta $350.00.000, se entrega $311.616.578,  lo que equivale al 100% financiero, acorde a lo ejecutado en obra .</t>
  </si>
  <si>
    <t>25AS111B2637</t>
  </si>
  <si>
    <t>APOYAR AL MUNICIPIO DE BRICEÑO, CON EL SUMINISTRO DE MATERIALES POR PARTE DEL DEPARTAMENTO DE ANTIOQUIA PARA LLEVAR A CABO EL MEJORAMIENTO DE VÍAS TERCIARIAS UBICADAS EN EL MUNICIPIO ASOCIADO</t>
  </si>
  <si>
    <t>• Travesias – El Roblal (La Y) (05107VT34)
• Valle de Toledo – Alto de Chiri (05107VT03)
• Las Auras – El Polvillo – La Palestina (05107VT08)</t>
  </si>
  <si>
    <t>24/04/2026 TERMINADO 100%, se hizo visita los dias los 15 y 16 de abril, (Seg. 08/09/2026) El presupuesto es hasta $105.00.000, se entrega $99.252.795, lo que equivale al 100% financiero, acorde a lo ejecutado en obra .</t>
  </si>
  <si>
    <t>25AS111B2651</t>
  </si>
  <si>
    <t>APOYAR AL MUNICIPIO DE TOLEDO, CON EL SUMINISTRO DE MATERIALES POR PARTE DEL DEPARTAMENTO DE ANTIOQUIA PARA LLEVAR A CABO EL MEJORAMIENTO DE VÍAS TERCIARIAS UBICADAS EN EL MUNICIPIO ASOCIADO</t>
  </si>
  <si>
    <t>Las Auras – El Polvillo – La Palestina (05107VT08)</t>
  </si>
  <si>
    <t>(16/12/2025) se entrego todo el material. (29/01/2026) Avance de obra 40%, terminan contra liquidación. (24/04/2026) avance de obra 50%. (16/07/2026) avance de obra 100% financiera del 100% . Por liquidar.  (24/04/2026) avance de obra 50%.  (Seg. 08/09/2026) El presupuesto es hasta $70.00.000, se entrega $69.981.477,  lo que equivale al 100% financiero, acorde a lo ejecutado en obra .</t>
  </si>
  <si>
    <t>VALENTINA LOPERA RAMÍREZ</t>
  </si>
  <si>
    <t>25AS111B2773</t>
  </si>
  <si>
    <t>BETULIA</t>
  </si>
  <si>
    <t>JAC VEREDA EL GUADUAL</t>
  </si>
  <si>
    <t>ARTICULAR Y COORDINAR ESFUERZOS ENTRE EL DEPARTAMENTO DE ANTIOQUIA Y LA JUNTA DE ACCIÓN COMUNAL VEREDA EL GUADUAL PARA LA EJECUCIÓN DEL MEJORAMIENTO VIAL EN EL MUNICIPIO DE BETULIA, ANTIOQUIA</t>
  </si>
  <si>
    <t>Vía denominada Familia Castaño código 05093VT70 en una extensión de 100 metros</t>
  </si>
  <si>
    <t>Seguimiento 19/08/2026: La obra presenta un avance físico del 100% y una ejecución de recursos del 95%. Se encuentra pendiente que la JAC allegue la documentación requerida para efectuar el tercer y último desembolso correspondiente al 5% restante. Una vez realizado dicho desembolso, se podrá continuar con el proceso de liquidación del convenio. (Seg 19/08/2026) Continúa en las mismas condiciones informadas previamente. (24/08/2026) eL 21/08/2026 se envío oficio con la solicitud de orden de desembolso #3 y definitivo para la JAC Vereda El Guadual, de Betulia, con informe de seguimiento # 6 de $6.045.573. (Seg. 09/09/2026) En espera de informe para liquidar.</t>
  </si>
  <si>
    <t>25AS111B2780</t>
  </si>
  <si>
    <t>JAC VEREDA LOS ANIMES</t>
  </si>
  <si>
    <t>ARTICULAR Y COORDINAR ESFUERZOS ENTRE EL DEPARTAMENTO DE ANTIOQUIA Y LA JUNTA DE ACCIÓN COMUNAL VEREDA LOS ANIMES PARA LA EJECUCIÓN DEL MEJORAMIENTO VIAL EN EL MUNICIPIO DE BETULIA, ANTIOQUIA</t>
  </si>
  <si>
    <t>VIA A LOS ANIMES (05093VT02) - 100 metros</t>
  </si>
  <si>
    <t>Prórroga por 35 días hasta el 4/04/2026. (27/03/2026) obra 30% - (10/04/2026) obra 90% - (17/04/2026) Acta de Terminación con compromisos, obra 90%. (Seg. 10/08/2026) recurso 95% - ejecución 100% - pendiente el 3cer. y último desembolo del 5%, hasta que allegen el RUT actualizado del nuevo presidente del la JAC, ya se hizo visita. (Seg 19/08/2026) Continúa en las mismas condiciones informadas previamente.(Seg. 09/09/2026) Pendiente el último desembolso del 5%.</t>
  </si>
  <si>
    <t>JONATHAN MARÍN GALLEGO</t>
  </si>
  <si>
    <t>25AS111B2809</t>
  </si>
  <si>
    <t>JAC VEREDA GUACAS BELLAVISTA</t>
  </si>
  <si>
    <t>ARTICULAR Y COORDINAR ESFUERZOS ENTRE EL DEPARTAMENTO DE ANTIOQUIA Y LA JUNTA DE ACCIÓN COMUNAL VEREDA GUACAS BELLAVISTA PARA LA EJECUCIÓN DEL MEJORAMIENTO VIAL EN EL MUNICIPIO DE SAN ROQUE, ANTIOQUIA</t>
  </si>
  <si>
    <t xml:space="preserve">VÍA CRISTALES - GUACAS ABAJO (05670VT29) </t>
  </si>
  <si>
    <t>Seguimiento 19/08/2026: La obra mantiene un avance físico del 100% y una ejecución financiera del 95%, se encuentra pendiente que la JAC allegue la documentación necesaria para efectuar el tercer y último desembolso correspondiente al 19% restante, una vez se complete este trámite se podrá proceder con la liquidación del convenio, el supervisor ya realizó la visita de verificación.(Seg. 09/09/2026) Pendiente el último desembolso del 5%.</t>
  </si>
  <si>
    <t>25AS111B2813</t>
  </si>
  <si>
    <t>JAC VEREDA PALMIRITA</t>
  </si>
  <si>
    <t>ARTICULAR Y COORDINAR ESFUERZOS ENTRE EL DEPARTAMENTO DE ANTIOQUIA Y LA JUNTA DE ACCIÓN COMUNAL VEREDA PALMIRITA PARA LA EJECUCIÓN DEL MEJORAMIENTO VIAL EN EL MUNICIPIO DE COCORNÁ, ANTIOQUIA.</t>
  </si>
  <si>
    <t>VÍA AUTOPISTA – ESCUELA PALMIRITA (05197VT13) – 200 METROS LÍNEALES.</t>
  </si>
  <si>
    <t>Terminado 100%, por liquidar - (Seg. 10/08/2026) JAC PALMIRITA, Pendiente de visita final., (Seg.19/08/2026) obra 100%, recursos 80% se encuentra pendiente que la JAC allegue la documentación necesaria para efectuar el tercer y último desembolso correspondiente al 19% restante, una vez se complete este trámite se podrá proceder con la liquidación del convenio.(Seg. 09/09/2026) Pendiente el último desembolso</t>
  </si>
  <si>
    <t>25AS111B2781</t>
  </si>
  <si>
    <t>JAC VEREDA LA SOLITA</t>
  </si>
  <si>
    <t>ARTICULAR Y COORDINAR ESFUERZOS ENTRE EL DEPARTAMENTO DE ANTIOQUIA Y LA JUNTA DE ACCIÓN COMUNAL VEREDA LA SOLITA PARA LA EJECUCIÓN DEL MEJORAMIENTO VIAL EN EL MUNICIPIO DE ANDES, ANTIOQUIA</t>
  </si>
  <si>
    <t>VÍA LA SOLITA CON CÓDIGO (05034VT01) - 200 METROS</t>
  </si>
  <si>
    <t>(03/02/2026) se hizó primer desembolso - se solicitará 2do. desembolso (17/04/2026) pendiente último pago de la liquidación. (Seg. 10/08/2026) obra y recurso del 100%. Tiene Acta de Terminación; la Liquidación está en revisión por parte Jurídica. (Seg 19/08/2026) Continúa en las mismas condiciones informadas previamente. (Seg. 09/09/2026) Pendiente informe para liquidar.</t>
  </si>
  <si>
    <t>LORENA LONDOÑO GRAJALES</t>
  </si>
  <si>
    <t>25AS111B2789</t>
  </si>
  <si>
    <t>BARBOSA</t>
  </si>
  <si>
    <t>JAC VEREDA AGUAS CLARAS</t>
  </si>
  <si>
    <t>ARTICULAR Y COORDINAR ESFUERZOS ENTRE EL DEPARTAMENTO DE ANTIOQUIA Y LA JUNTA DE ACCIÓN COMUNAL VEREDA AGUAS CLARAS PARA LA EJECUCIÓN DEL MEJORAMIENTO VIAL EN EL MUNICIPIO DE BARBOSA, ANTIOQUIA</t>
  </si>
  <si>
    <t>TABLAZO - POPALITO (SECTOR AGUAS CLARAS ABAJO) CÓDIGO (05079VT39) - 200 METROS</t>
  </si>
  <si>
    <t>Seguimiento 10/08/2026: Obra y recursos ejecutados al 100%. Se cuenta con Acta de Terminación suscrita el 05/05/2026. El trámite de liquidación se encuentra en revisión por parte del área jurídica. (Seg. 09/09/2026) Pendiente el último desembolso.</t>
  </si>
  <si>
    <t>CATALINA BUITRAGO OROZCO</t>
  </si>
  <si>
    <t>25AS111B2801</t>
  </si>
  <si>
    <t>ASOCOMUNAL MPO CAÑASGORDAS</t>
  </si>
  <si>
    <t>ARTICULAR Y COORDINAR ESFUERZOS ENTRE EL DEPARTAMENTO DE ANTIOQUIA Y LA ASOCIACIÓN DE JUNTAS DE ACCIÓN COMUNAL Y VIVIENDA COMUNITARIA DEL MUNICIPIO DE CAÑASGORDAS PARA LA EJECUCIÓN DEL MEJORAMIENTO VIAL EN EL MUNICIPIO DE CAÑASGORDAS ANTIOQUIA.</t>
  </si>
  <si>
    <t>VÍA CAÑASGORDAS-MEDIACUESTA- CANELITO identifica con código 05138VT13, ubicada en la zona de influencia de la vereda Mediacuesta.</t>
  </si>
  <si>
    <t xml:space="preserve">Seguimiento 23/04/2026: Se suscribió la Prórroga No. 1 a la suspensión, comprendida entre el 16/04/2026 y el 15/05/2026. No obstante, el convenio fue reanudado el 30/04/2026 y finalizado el 05/05/2026, con una ejecución física del 100%. Seguimiento 25/06/2026: La JAC se encuentra organizando la documentación requerida para tramitar el segundo desembolso. Seguimiento 06/08/2026: Se cuenta con Acta de Terminación suscrita el 05/05/2026. Seguimiento 19/08/2026: La obra presenta un avance físico del 100%. Se encuentra pendiente que la JAC allegue la documentación necesaria para efectuar el segundo desembolso y continuar con los trámites requeridos para la liquidación del convenio. (Seg. 19/08/2026) en revisión el acta para el desembolso 2 y 3 (Seg. 09/09/2026) sigue pendiente el desembolso 2 y 3. </t>
  </si>
  <si>
    <t>25AS111B2794</t>
  </si>
  <si>
    <t>JAC VEREDA LA UNIÓN</t>
  </si>
  <si>
    <t>ARTICULAR Y COORDINAR ESFUERZOS ENTRE EL DEPARTAMENTO DE ANTIOQUIA Y LA JUNTA DE ACCION COMUNAL VEREDA LA UNION PARA LA EJECUCIÓN DEL MEJORAMIENTO VIAL EN EL MUNICIPIO DE CAÑASGORDAS ANTIOQUIA</t>
  </si>
  <si>
    <t>VÍA EL EDEN - LA UNION código 05138VT20.</t>
  </si>
  <si>
    <t xml:space="preserve">Seguimiento 23/04/2026: Se suscribió la Prórroga No. 1 a la suspensión, comprendida entre el 16/04/2026 y el 15/05/2026. Posteriormente, la suspensión fue ampliada hasta el 16/06/2026. El convenio se reportó como terminado, quedando pendiente el trámite del segundo desembolso y la liquidación. Seguimiento 06/08/2026: Se cuenta con Acta de Terminación suscrita el 05/06/2026. Seguimiento 10/08/2026: Avance físico del 100% y ejecución de recursos del 30%. El convenio finalizó el 07/06/2026. Actualmente, la JAC se encuentra organizando la documentación requerida para tramitar el segundo desembolso. Una vez se cuente con el acta de pago, se programará visita técnica con el jefe de la dependencia para realizar el recibo de la obra. Seguimiento 19/08/2026: La obra presenta un avance físico del 100% y una ejecución financiera del 30%. Continúa pendiente la entrega de la documentación por parte de la JAC para efectuar el segundo desembolso, realizar el recibo formal de la obra y avanzar en el proceso de liquidación del convenio. Seg. 19/08/2026 La JAC no ha podido actualizar los documentos con el nuevo presidente, por lo esta pendiente que tramite el acta para solicitar el desembolos 2 y 3(Seg. 09/09/2026) sigue pendiente el desembolso 2 y 3. </t>
  </si>
  <si>
    <t>25AS111B2798</t>
  </si>
  <si>
    <t>JAC VEREDA GUAYABAL CGTO CESTILLAL</t>
  </si>
  <si>
    <t>ARTICULAR Y COORDINAR ESFUERZOS ENTRE EL DEPARTAMENTO DE ANTIOQUIA Y LA JUNTA DE ACCIÓN COMUNAL VEREDA GUAYABAL CORREGIMIENTO CESTILLAL PARA LA EJECUCIÓN DEL MEJORAMIENTO VIAL EN EL MUNICIPIO DE CAÑASGORDAS, ANTIOQUIA</t>
  </si>
  <si>
    <t>Cestillal - Guayabal  código 05138VT04</t>
  </si>
  <si>
    <t>(28/04/2026) terminado 100%, (Seg.05/08/2026) Acta de Terminación del 07/07/2026 - Causal de terminación "Vencimiento del plazo". (Seg. 14/08/2026) "Obra 100% - Recursos 95 % pendiente pendiente último pago del 5%. (Seg. 09/09/2026) Pendiente el último desembolso del 5%.</t>
  </si>
  <si>
    <t>25AS111B2795</t>
  </si>
  <si>
    <t>JAC AGUAS CLARAS</t>
  </si>
  <si>
    <t>ARTICULAR Y COORDINAR ESFUERZOS ENTRE EL DEPARTAMENTO DE ANTIOQUIA Y LA JUNTA DE ACCIÓN COMUNAL AGUAS CLARAS PARA LA EJECUCIÓN DEL MEJORAMIENTO VIAL EN EL MUNICIPIO DE EL CARMEN DE VIBORAL</t>
  </si>
  <si>
    <t>El Cerro con código 05148VT128 100 METROS</t>
  </si>
  <si>
    <t>(05/02/2026) se realizó 1mer.desembolso - Suspendido hasta el 3/3/2026, nueva fecha de terminación 20/03/2026 - terminado 100% - (Seg. 10/08/2026) - AGUAS CLARAS - Obra 100% y financiera: 95% - Pendiente visita e información para tercer. y último desembolso del 5% - Tiene Acta de Terminación del 20/04/2026. (Seg. 09/09/2026) Pendiente el último desembolso del 5%.</t>
  </si>
  <si>
    <t>25AS111B2783</t>
  </si>
  <si>
    <t>JAC VEREDA ANGOSTURA PARTE ALTA</t>
  </si>
  <si>
    <t>ARTICULAR Y COORDINAR ESFUERZOS ENTRE EL DEPARTAMENTO DE ANTIOQUIA Y LA JUNTA DE ACCIÓN COMUNAL VEREDA ANGOSTURA PARTE ALTA PARA LA EJECUCIÓN DEL MEJORAMIENTO VIAL EN EL MUNICIPIO DE CIUDAD BOLIVAR ANTIOQUIA</t>
  </si>
  <si>
    <t>VÍA ANGOSTURA PARTE ALTA (ALTO DE LOS JARAMILLOS) con código 05101VT10.</t>
  </si>
  <si>
    <t>(29/12/2026) Suspendido hasta 13/01/2026 -26/01/2026 se reanudó el 14/01/2026, termina el 10/02/2026 - (05/02/2026) Suspendido por 30 días, hasta el 6/03/2026 - 18/03/2026, prórroga por 30 días, termina el 11/04/2026 - (10/04/2026) avance de obra 75% - (17/04/2026) avance de obra 80%. (Seg. 10/08/2026) recurso 95% - obra 100% - pendiente el 3cer. y último desembolo del 5%, ya se hizó visita. (Seg 19/08/2026) Continúa en las mismas condiciones informadas previamente. (Seg. 09/09/2026) Pendiente el último desembolso del 5%.</t>
  </si>
  <si>
    <t>25AS111B2791</t>
  </si>
  <si>
    <t>JAC VEREDA LA BAMBA</t>
  </si>
  <si>
    <t>ARTICULAR Y COORDINAR ESFUERZOS ENTRE EL DEPARTAMENTO DE ANTIOQUIA Y LA JUNTA DE ACCIÓN COMUNAL VEREDA LA BAMBA PARA LA EJECUCIÓN DEL MEJORAMIENTO VIAL EN EL MUNICIPIO DE EL BAGRE, ANTIOQUIA.</t>
  </si>
  <si>
    <t>Vía denominada El Bagre – Puerto Claver con código 05250VT22</t>
  </si>
  <si>
    <t>Seguimiento 17/02/2026: La obra registraba un avance físico del 10%. Seguimiento 27/02/2026: Se suscribió suspensión por 30 días, comprendida entre el 25/02/2026 y el 27/03/2026. Posteriormente, se aprobó ampliación de la Suspensión No. 1 por 20 días, hasta el 26/04/2026. Más adelante, se otorgó una nueva ampliación de la suspensión, extendiendo su vigencia hasta el 17/06/2026. Seguimiento 10/08/2026: Avance físico del 20% y ejecución de recursos del 30%. El convenio se encuentra suspendido hasta el 18/08/2026 y actualmente se está tramitando una nueva ampliación de la suspensión por un (1) mes adicional. (Seg. 19/08/2026): La obra 20% y  financiera 30%. Finalizado el período de suspensión vigente, se encuentra en trámite una ampliación adicional de la suspensión por un (1) mes, debido a que persisten las circunstancias que dieron lugar a la suspensión del convenio. (Seg. 19/08/2026) se tramitó la ampliación Nro. 05 de la suspensión Nro. 01 desde el 19/08/2026 al 19/09/2026, quedandole 4 días para finalizar el 23/09/2026. (Seg. 09/09/2026) Sigue pendiente los desembolsos 2 y 3, obra 30% .</t>
  </si>
  <si>
    <t>25AS111B2788</t>
  </si>
  <si>
    <t>JAC VEREDA HORIZONTES</t>
  </si>
  <si>
    <t>ARTICULAR Y COORDINAR ESFUERZOS ENTRE EL DEPARTAMENTO DE ANTIOQUIA Y LA JUNTA DE ACCIÓN COMUNAL VEREDA HORIZONTES PARA LA EJECUCIÓN DEL MEJORAMIENTO VIAL EN EL MUNICIPIO DE EL PEÑOL</t>
  </si>
  <si>
    <t>VÍA PANTALEÓN código (05541VT166) - 100 metros</t>
  </si>
  <si>
    <t>10/03/2026 terminado, por liquidar . Seg. 03/08/2026 para último pago, ya tiene visita pendiente de liquidación Aportes para la obra por parte del Departamento $122,467,404 más los del municipio de $17,736,711 para un total de $140,204,115, (Seg. 14/08/2026) Obra 100%, Recursos 95%, Pendiente: 5%, ültimo pago:se envia solicitud de pago No3 y final . (Seg. 24/08/2026) El 21/08/2026 se envío solicitud de  Orden de pago #3 y fina, a la JAC Vereda Horizontes, de El Peñol, por $6.138.857. (Seg. 09/09/2026) En espera de informe para liqudiar.</t>
  </si>
  <si>
    <t>25AS111B2800</t>
  </si>
  <si>
    <t>JAC VEREDA BELLAVISTA</t>
  </si>
  <si>
    <t>ARTICULAR Y COORDINAR ESFUERZOS ENTRE EL DEPARTAMENTO DE ANTIOQUIA Y LA JUNTA DE ACCIÓN COMUNAL VEREDA BELLA VISTA PARA LA EJECUCIÓN DEL MEJORAMIENTO VIAL EN EL MUNICIPIO DE GUARNE, ANTIOQUIA</t>
  </si>
  <si>
    <t>VÍA BELLA VISTA – CHAPARRAL CON CÓDIGO (05318VT30) - 100 METROS</t>
  </si>
  <si>
    <t xml:space="preserve">(24/04/2026) terminado 100%, pendiente último desembolso y  liquidar . (Seg 10/08/2026) BELLAVISTA –  100M - obra 100%, financiera: 95% - Pendiente información de la junta para último desembolso  del 5% - Tiene acta de terminación del 28/04/2026 (Seg.19/08/2026) continúa igual. (Seg. 09/09/2026) Pendiente el último desembolso del 5%.
</t>
  </si>
  <si>
    <t>25AS111B2799</t>
  </si>
  <si>
    <t>JAC VEREDA LOS LABRIEGOS</t>
  </si>
  <si>
    <t>ARTICULAR Y COORDINAR ESFUERZOS ENTRE EL DEPARTAMENTO DE ANTIOQUIA Y LA JUNTA DE ACCIÓN COMUNAL VEREDA LOS LABRIEGOS PARA LA EJECUCIÓN DEL MEJORAMIENTO VIAL EN EL MUNICIPIO DE GUARNE, ANTIOQUIA</t>
  </si>
  <si>
    <t>VÍA SAN ANTONIO PARTE ALTA (05318VT99) - 100 METROS</t>
  </si>
  <si>
    <t>(05/02/2026) en trámite de desembolso - 18/03/2026 suspendido por 1 mes hasta el 13/04/2026 - (24/04/2026) prórroga por 1 mes, nueva fecha de terminación 14/05/2026 - (14/05/2026) obra 80% (Seg 10/08/2026) LOS LABRIEGOS – GUARNE - 100M - Ejecución física: 43% - Ejecución financiera: 30% - Pendiente información de la junta para desembolso 2 - Tiene acta de terminación del 02/06/2026 (Seg. 19/08/2026) Continúa igual.(Seg. 09/09/2026) sigue pendiente el desembolso 2 y 3, obra sigue en el 30%</t>
  </si>
  <si>
    <t>25AS111B2796</t>
  </si>
  <si>
    <t>GUATAPÉ</t>
  </si>
  <si>
    <t>JAC VEREDA EL ROSARIO</t>
  </si>
  <si>
    <t>ARTICULAR Y COORDINAR ESFUERZOS ENTRE EL DEPARTAMENTO DE ANTIOQUIA Y LA JUNTA DE ACCIÓN COMUNAL VEREDA EL ROSARIO PARA LA EJECUCIÓN DEL MEJORAMIENTO VIAL EN EL MUNICIPIO DE GUATAPÉ, ANTIOQUIA</t>
  </si>
  <si>
    <t>VÍA EL ROSARIO (05321VT43) - 100 METROS</t>
  </si>
  <si>
    <t>Seguimiento 10/08/2026: Avance físico del 20% y ejecución de recursos del 30%. El convenio se encuentra suspendido hasta el 18/08/2026 y actualmente se está tramitando una nueva ampliación de la suspensión por un (1) mes adicional. (Seg.24/08/2026) El 21/08/2026 se radico oficio al IDEA de Orden de pago No.2  y  final, para la JAC Vereda El Rosario, de Guatapé, de $81.520.250 . (Seg. 09/09/2026) Pendiente el último desembolso del 5%.</t>
  </si>
  <si>
    <t>25AS111B2787</t>
  </si>
  <si>
    <t>JAC VEREDA LOS BOTES</t>
  </si>
  <si>
    <t>ARTICULAR Y COORDINAR ESFUERZOS ENTRE EL DEPARTAMENTO DE ANTIOQUIA Y LA JUNTA DE ACCIÓN COMUNAL VEREDA LOS BOTES PARA LA EJECUCIÓN DEL MEJORAMIENTO VIAL EN EL MUNICIPIO DE HELICONIA ANTIOQUIA.</t>
  </si>
  <si>
    <t>Vía denominada Los Botes con código (05347VT11)</t>
  </si>
  <si>
    <t xml:space="preserve">
18/03/2026 Terminado 100%, pendiente , por liquidar. (Seg.18/08/2026) Obra del 82% recursos del 100% , pendiente acta de informe de la JAC para proceder con desembolo, visita y liquidar.(Seg. 09/09/2026) Pendiente el último  desembolso del 5%.</t>
  </si>
  <si>
    <t>DAISY LORENA DUQUE SEPÚLVEDA</t>
  </si>
  <si>
    <t>25AS111B2779</t>
  </si>
  <si>
    <t>JAC VEREDA BUENAVISTA</t>
  </si>
  <si>
    <t>ARTICULAR Y COORDINAR ESFUERZOS ENTRE EL DEPARTAMENTO DE ANTIOQUIA Y LA JUNTA DE ACCIÓN COMUNAL VEREDA BUENAVISTA PARA LA EJECUCIÓN DEL MEJORAMIENTO VIAL EN EL MUNICIPIO DE LA UNIÓN</t>
  </si>
  <si>
    <t>VÍA BUENAVISTA – LAS BRISAS PUENTE TABLAS – PIEDRAS SECTOR MAURO VÁSQUEZ código (05400VT114) - 100 METROS</t>
  </si>
  <si>
    <t>(19/02/2026) TERMINADO 100%, pendiente visita a campo para verificar obra (24/04/2026) terminado 100%, por liquidar, pendiente último desembolso- (Seg 24/07/2026)_A la espera de documentación de la junta para iniciar desembolso del 5%, e iniciar la liquidación. (Seg. 19/08/2026) Se continúa a la espera del acta de la JAC para prodecer con el desembolso. (Seg. 09/09/2026) Pendiente el último desembolso del 5%.</t>
  </si>
  <si>
    <t>25AS111B2774</t>
  </si>
  <si>
    <t>JAC VEREDA GAVIRIA</t>
  </si>
  <si>
    <t>ARTICULAR Y COORDINAR ESFUERZOS ENTRE EL DEPARTAMENTO DE ANTIOQUIA Y LA JUNTA DE ACCIÓN COMUNAL VEREDA GAVIRIA PARA LA EJECUCIÓN DEL MEJORAMIENTO VIAL EN EL MUNICIPIO DE MARINILLLA</t>
  </si>
  <si>
    <t>VÍA MARINILLA EL SANTUARIO CARMEN DE VIBORAL - SAN JUAN BOSCO-GAVIRIA - VÍA MARINILLA NUEVO PEÑOL (05440VT28) - 200 METROS</t>
  </si>
  <si>
    <t>(24/04/2026) obra 95%, pendiente último desembolso - (Seg. 10/08/2026) GAVIRIA- MARINILLA - 200M -pendiente revisando documentación para último desembolso - (Seg.18/08/2026) Sigue pendiente el informe del Municipio, cuenta con Acta de Terminación del 01/06/2026. (Seg. 24/04/2026) el 21/08/2026 se envío el  Informe  de Seguimiento # 6, en el que se indicó el cumplimiento de requisitos y aprobación del desembolso de recursos # 3 y final, por un valor de $ 46.511.612 al IDEA, para la  JAC vereda  Gaviria, de Marinilla. (Seg. 09/09/2026) en espera de l informe para liquidar.</t>
  </si>
  <si>
    <t>25AS111B2803</t>
  </si>
  <si>
    <t>JAC VEREDA EL ROBLE</t>
  </si>
  <si>
    <t>ARTICULAR Y COORDINAR ESFUERZOS ENTRE EL DEPARTAMENTO DE ANTIOQUIA Y LA JUNTA DE ACCIÓN COMUNAL VEREDA EL ROBLE PARA LA EJECUCIÓN DEL MEJORAMIENTO VIAL EN EL MUNICIPIO DE NARIÑO, ANTIOQUIA</t>
  </si>
  <si>
    <t>VEREDA EL ROBLE</t>
  </si>
  <si>
    <t>Terminado 100%, por liquidar, pendiente último desembolso (Seg 24/07/2026)_A la espera de documentación de la junta para iniciar desembolso del 5% e iniciar la liquidación. Seg. 19/08/2026) Se continúa a la espera del acta de la JAC para prodecer con el desembolso.(Seg. 09/09/2026) Pendiente el último desembolso del 5%.</t>
  </si>
  <si>
    <t>25AS111B2790</t>
  </si>
  <si>
    <t>JAC VEREDA EL LIMÓN</t>
  </si>
  <si>
    <t>ARTICULAR Y COORDINAR ESFUERZOS ENTRE EL DEPARTAMENTO DE ANTIOQUIA Y LA JUNTA DE ACCIÓN COMUNAL VEREDA EL LIMÓN PARA LA EJECUCIÓN DEL MEJORAMIENTO VIAL EN EL MUNICIPIO DE NARIÑO</t>
  </si>
  <si>
    <t>VEREDA EL LIMÓN</t>
  </si>
  <si>
    <t>Terminado 100%, por liquidar, pendiente último desembolso Seg 24/07/2026_A la espera de documentación de la junta para iniciar pago del 5% e iniciar la liquidación Seg. 19/08/2026) Se continúa a la espera del acta de la JAC para prodecer con el desembolso.(Seg. 09/09/2026) Pendiente el último desembolso del 5%.</t>
  </si>
  <si>
    <t>25AS111B2792</t>
  </si>
  <si>
    <t>ASOCOMUNAL MPO SAN RAFAEL</t>
  </si>
  <si>
    <t>ARTICULAR Y COORDINAR ESFUERZOS ENTRE EL DEPARTAMENTO DE ANTIOQUIA Y ASOCIACIÓN DE JUNTAS DE ACCIÓN COMUNAL Y VIVIENDA COMUNITARIA PARA LA EJECUCIÓN DEL MEJORAMIENTO VIAL EN EL MUNICIPIO DE SAN RAFAEL</t>
  </si>
  <si>
    <t>VÍA ARENAL -LA RÁPIDA (05667VT181) 100 METROS</t>
  </si>
  <si>
    <t>"03/02/2026 terminada 100% la obra, pendiente ultimo desembolso, por liquidar, con acta de terminación  - Seg. 03/08/2026 con Acta de Terminación , para la obra el departamento aportó  $121,406,362 y el municipio          $11,436,244  para un total de  $132,842,606 . (Seg 14/08/2026) Obra 100%, Recursos 95%. ültimo pago en Revision Tecnica para definir acta final. SEg. 09/09/2029) Pendiente el últimio desembolso del 5%</t>
  </si>
  <si>
    <t>25AS111B2802</t>
  </si>
  <si>
    <t>JAC VEREDA LA COMPAÑIA</t>
  </si>
  <si>
    <t>ARTICULAR Y COORDINAR ESFUERZOS ENTRE EL DEPARTAMENTO DE ANTIOQUIA Y LA JUNTA DE ACCIÓN COMUNAL VEREDA LA COMPAÑÍA SAN ANTONIO PARA LA EJECUCIÓN DEL MEJORAMIENTO VIAL EN EL MUNICIPIO DE SAN VICENTE, ANTIOQUIA.</t>
  </si>
  <si>
    <t>VÍA SAN ANTONIO - LAS HOJAS 05674VT32 - 100 metros</t>
  </si>
  <si>
    <t>(24/04/2026) terminado, pendiente último desembolso y liquidar (Seg. 13/08/2026) Físico: 100% , Financiero: 95% Pendiente de visita final, posee Acta de Terminación e Informe de Seguimiento del 26/01/2026 - Pendiente tercer y último desembolso, el mismo que está condicionado a que la JAC allegue subsanaciones para desembolsar y la subsanación. (Seg.18/09/2026) El convenio se mantiene en el mismo estado reportado en el seguimiento anterior. (Seg. 28/08/2026) La supervisión  fue trasladada del director León Darío Vélez Yépes  al profesional Róman Darío Franco Granda, mediante designación de supervisión No. 2026020032415 del 25 de agosto de 2026. (Seg. 09/09/2026) Pendiente el último desembolo del 5%.</t>
  </si>
  <si>
    <t>25AS111B2797</t>
  </si>
  <si>
    <t>SANTO DOMINGO</t>
  </si>
  <si>
    <t>JAC VEREDA LA ESPERANZA</t>
  </si>
  <si>
    <t>ARTICULAR Y COORDINAR ESFUERZOS ENTRE EL DEPARTAMENTO DE ANTIOQUIA Y LA JUNTA DE ACCIÓN COMUNAL VEREDA LA ESPERANZA PARA LA EJECUCIÓN DEL MEJORAMIENTO VIAL EN EL MUNICIPIO DE SANTO DOMINGO, ANTIOQUIA</t>
  </si>
  <si>
    <t>VÍA SAN ANTONIO - LAS HOJAS 05674VT24 - 100 metros</t>
  </si>
  <si>
    <t>(29/01/2026) obra 85%, (Seg. 13/08/2026) _ Se está trámitando el último desembolso del 5% y liquidación, obra 100%.(Seg. 09/09/2026) Pendiente el último desembolso del 5%.</t>
  </si>
  <si>
    <t>25AS111B2777</t>
  </si>
  <si>
    <t>JAC VEREDA GUADALEJO</t>
  </si>
  <si>
    <t>ARTICULAR Y COORDINAR ESFUERZOS ENTRE EL DEPARTAMENTO DE ANTIOQUIA Y LA JUNTA DE ACCIÓN COMUNAL VEREDA GUADUALEJO PARA LA EJECUCIÓN DEL MEJORAMIENTO VIAL EN EL MUNICIPIO DE SANTO DOMINGO, ANTIOQUIA</t>
  </si>
  <si>
    <t>Vía Alto de Guadualejo con código (05690VT49</t>
  </si>
  <si>
    <t>(03/03/2026) suspendido por 20 días del 25/02/2026 hasta el 16/03/2026, se reanudó el 17/03/2026 por lo tanto la nueva fecha de terminación es el 27/03/2026 - obra 80% - (24/04/2026) en revisión del 2do. desembolso (Seg. 13/08/2026) _ Informe Seguimiento # 1 del 21/01/2026, Trámitando el 2do. desembolso del 65%, el cual depende de la activación en la plataforma de SURCO de la JAC.  (Seg. 24/04/2026) El 21/08/2026 se envío solicitud de orden de pago No.2. Segundo desembolso para la JAC  Vereda Guadualejo, de Santo Domingo, de $64.765.128 . (Seg. 09/09/2026) Pendiente el último desembolso del 5%.</t>
  </si>
  <si>
    <t>25AS111B2793</t>
  </si>
  <si>
    <t>JAC VEREDA EL COMBO</t>
  </si>
  <si>
    <t>ARTICULAR Y COORDINAR ESFUERZOS ENTRE EL DEPARTAMENTO DE ANTIOQUIA Y LA JUNTA DE ACCIÓN COMUNAL VEREDA EL COMBO PARA LA EJECUCIÓN DEL MEJORAMIENTO VIAL EN EL MUNICIPIO DE SANTO DOMINGO, ANTIOQUIA</t>
  </si>
  <si>
    <t>VÍA ALTO DE GUADUALEJO (05690VT49) - 100 metros
NOTA: JUNTA DE ACCIÓN COMUNAL VEREDA EL COMBO</t>
  </si>
  <si>
    <t>(18/03/2026) con Acta de Terminación del 09/03/2026, terminado 100% (Seg. 13/08/2026) Obra del 100% Recursos del 95%. pendiente de trámite del tercer desembolso y liquidación del 5% para liquidar.(Seg. 09/09/2026) Pendiente el último desembolso del 5%.</t>
  </si>
  <si>
    <t>25AS111B2786</t>
  </si>
  <si>
    <t>TURBO</t>
  </si>
  <si>
    <t>JAC CORREGIMIENTO EL DOS</t>
  </si>
  <si>
    <t>ARTICULAR Y COORDINAR ESFUERZOS ENTRE EL DEPARTAMENTO DE ANTIOQUIA Y LA JUNTA DE ACCIÓN COMUNAL CORREGIMIENTO EL DOS PARA LA EJECUCIÓN DEL MEJORAMIENTO VIAL EN EL MUNICIPIO DE TURBO ANTIOQUIA.</t>
  </si>
  <si>
    <t>VÍA EL DOS - PLAYONA con código (05837VT74)</t>
  </si>
  <si>
    <t>(20/04/2026) Se firmó Acta de Inicio el 16/04/2026- (14/07/2026) obra 88%, por liquidar - (Seg. 24/07/2026)_ El OAC deberá entregar documentos para liquidar con la inversión total de los recursos entregados por el Departamento. (Seg. 19/08/2026) en la espera de la delegación del nuevo apoyo de la supervisión, tada vez que la ingeniera Dalys Milena fue trasladada al DAGRAN Obra 90% Recursos 88%, Acta de Terminación del 25/06/2026. (Seg. 31/08/2026) La supervisión fue trasladada de la profesional Dalis Milena Henao Hincapie al profesional Cristian Camilo Quirama Henao, mediante delegación No. 2026020032597 del 26/08/2026. (Seg. 09/09/2026) Pendiente el último desembolso del 5%.</t>
  </si>
  <si>
    <t>25AS111B2785</t>
  </si>
  <si>
    <t>JAC CORREGIMIENTO VILLANUEVA</t>
  </si>
  <si>
    <t>ARTICULAR Y COORDINAR ESFUERZOS ENTRE EL DEPARTAMENTO DE ANTIOQUIA Y LA JUNTA DE ACCIÓN COMUNAL CORREGIMIENTO VILLA NUEVA PARA LA EJECUCIÓN DEL MEJORAMIENTO VIAL EN EL MUNICIPIO DE YOLOMBÓ</t>
  </si>
  <si>
    <t>Vía denominada Bengala Parte Baja - Corregimiento Villanueva con código 05890VT08.</t>
  </si>
  <si>
    <t>(18/03/2026) suspendido por 1.5 meses, hasta el 19/04/2026 - (21/04/2026) Ampliación a la suspensión hasta el 20/05/2026 - reanudado el 21/05/2026, termina el 31/05/2026 -(05/06/2026) se prorrogó por 1 mes y medio, terminá el 15/07/2026 (Seg. 13/08/2026)  Físico: 73% , Financiero 80% , Pendiente de visita final, Pendiente acta de terminación, aúnque ya se terminó el plazo de ejecución. Pendiene el último desembolso, toda vez que la  JAC no ha pasado documentos de cobro. (Seg.18/09/2026) El convenio se mantiene en el mismo estado reportado en el seguimiento anterior. (Seg. 28/08/2026) La supervisión  fue trasladada del director León Darío Vélez Yépes  al profesional Róman Darío Franco Granda, mediante designación de supervisión No. 2026020032415 del 25 de agosto de 2026. (Seg. 09/09/2026) Pendiente el último desembolso del 5%</t>
  </si>
  <si>
    <t>25AS111B2818</t>
  </si>
  <si>
    <t>ARBOLETES</t>
  </si>
  <si>
    <t>JAC VEREDA PAJILLAL</t>
  </si>
  <si>
    <t>ARTICULAR Y COORDINAR ESFUERZOS ENTRE EL DEPARTAMENTO DE ANTIOQUIA Y LA JUNTA DE ACCIÓN COMUNAL VEREDA PAJILLAL PARA LA EJECUCIÓN DEL MEJORAMIENTO VIAL EN EL MUNICIPIO DE ARBOLETES, ANTIOQUIA</t>
  </si>
  <si>
    <t>VÍA DENOMINADA PAJILLAL (05051VT22) – 100 METROS LÍNEALES.</t>
  </si>
  <si>
    <t>(11/05/2026) TERMINADO AL 100%, por liquidar _ Seg. 24/07/2026_ El OAC deberá entregar documentos para liquidar con la inversión total de los recursos entregados por el Departamento. (Seg. 10/08/2026) _Informe Seguimiento # 2 del 07/07/2026 con Fisíco del 100% y Recursos del 30%; Presupuesto Inicial de $122.411.794 - OCAD $8.999.214 para un total de $131.411.008 de los cuales se ha realizado 2 desembolsos; el 1mero. del 30% y 2do. del 65% _ Acta de Terminación del 15/05/2026 (Seg. 19/08/2026) en la espera de la delegación del nuevo apoyo de la supervisión, toda vez que la ingeniera Dalis Milena fue trasladada al DAGRAN. (Seg. 31/08/2026) La supervisión fue trasladada de la profesional Dalis Milena Henao Hincapie al profesional Cristian Camilo Quirama Henao, mediante delegación No. 2026020032597 del 26/08/2026. (Seg. 09/09/2026) pendiente el último desembolo del 5%.</t>
  </si>
  <si>
    <t>25AS111B2814</t>
  </si>
  <si>
    <t>JAC VEREDA LAS CABRAS</t>
  </si>
  <si>
    <t xml:space="preserve"> OCCIDENTE</t>
  </si>
  <si>
    <t>ARTICULAR Y COORDINAR ESFUERZOS ENTRE EL DEPARTAMENTO DE ANTIOQUIA Y LA JUNTA DE ACCIÓN COMUNAL VEREDA LAS CABRAS PARA LA EJECUCIÓN DEL MEJORAMIENTO VIAL EN EL MUNICIPIO DE FRONTINO, ANTIOQUIA.</t>
  </si>
  <si>
    <t>VÍA DENOMINADA CABRITAS (05284VT53) – 100 METROS LÍNEALES.</t>
  </si>
  <si>
    <t>Seguimiento 19/08/2026: Obra terminada al 100% y ejecución de recursos del 30%. Se encuentra pendiente la entrega del informe por parte de la JAC, requisito necesario para realizar los desembolsos segundo y tercero. Una vez se efectúen dichos desembolsos, se podrá iniciar el proceso de liquidación del convenio.(Seg. 09/09/2026) sigue pendiente los desembolsos 2 y 3, obra del 30%.</t>
  </si>
  <si>
    <t>25AS111B2815</t>
  </si>
  <si>
    <t>JAC VEREDA QUEBRADA ARRIBA</t>
  </si>
  <si>
    <t>ARTICULAR Y COORDINAR ESFUERZOS ENTRE EL DEPARTAMENTO DE ANTIOQUIA Y LA JUNTA DE ACCIÓN COMUNAL VEREDA QUEBRADA ARRIBA PARA LA EJECUCIÓN DEL MEJORAMIENTO VIAL EN EL MUNICIPIO DE GUATAPÉ, ANTIOQUIA.</t>
  </si>
  <si>
    <t>VÍA MONASTERIO LAS MONJAS (05321VT06) – 100 METROS LÍNEALES.</t>
  </si>
  <si>
    <t>Seguimiento el 02/03/2026: Convenio suspendido por 15 días, hasta el 11/03/2026. Fecha de terminación programada: 21/03/2026. Seguimiento 18/03/2026: Obra terminada al 100%. En proceso de trámite del segundo desembolso, alcanzando una ejecución financiera del 95%. Pendiente el desembolso final del 5%, sujeto a la entrega de la documentación requerida para la liquidación. Seguimiento 19/08/2026: La obra mantiene un avance físico del 100% y una ejecución financiera del 95%. Se encuentra pendiente que la JAC allegue la documentación necesaria para efectuar el tercer y último desembolso correspondiente al 5% restante. Una vez se complete este trámite, se podrá proceder con la liquidación del convenio. (Seg. 09/09/2026) Pendiente el último desembolso del 5%.</t>
  </si>
  <si>
    <t>25AS111B2816</t>
  </si>
  <si>
    <t>JAC VEREDA MULATICO PALESTINA</t>
  </si>
  <si>
    <t>ARTICULAR Y COORDINAR ESFUERZOS ENTRE EL DEPARTAMENTO DE ANTIOQUIA Y LA JUNTA DE ACCIÓN COMUNAL VEREDA MULATICO PALESTINA PARA LA EJECUCIÓN DEL MEJORAMIENTO VIAL EN EL MUNICIPIO DE NECOCLÍ, ANTIOQUIA</t>
  </si>
  <si>
    <t>VÍA DENOMINADA MULATICO PALESTINA (05490VT10) – 100 METROS LÍNEALES</t>
  </si>
  <si>
    <t>(18/03/2026): Obra terminada al 100%. En proceso de trámite del segundo desembolso, alcanzando una ejecución financiera del 95%. Pendiente el desembolso final del 5%, sujeto a la entrega de la documentación requerida para la liquidación. (Seg. 19/08/2026) en la espera de la delegación del nuevo apoyo de la supervisión, tada vez que la ingeniera Dalis Milena fue trasladada al DAGRAN. (Seg. 31/08/2026) La supervisión fue trasladada de la profesional Dalis Milena Henao Hincapie al profesional Cristian Camilo Quirama Henao, mediante delegación No. 2026020032597 del 26/08/2026. (Seg. 09/09/2026) Pendiente el último desemboslo del 5%.</t>
  </si>
  <si>
    <t>25AS111B2819</t>
  </si>
  <si>
    <t>JAC VEREDA PIEDRECITAS</t>
  </si>
  <si>
    <t>ARTICULAR Y COORDINAR ESFUERZOS ENTRE EL DEPARTAMENTO DE ANTIOQUIA Y LA JUNTA DE ACCIÓN COMUNAL VEREDA PIEDRECITAS PARA LA EJECUCIÓN DEL MEJORAMIENTO VIAL EN EL MUNICIPIO DE TURBO, ANTIOQUIA</t>
  </si>
  <si>
    <t>VÍA DENOMINADA PIEDRECITAS (05837VT02) – 100 METROS LÍNEALES</t>
  </si>
  <si>
    <t>11/05/2026 TERMINADO AL 100%, por liquidar- Seg. 24/07/202 El municipio deberá entregar documentos para liquidar con la inversión total de los recursos en especie entregados por el Departamento. "(Seg. 10/08/2026) _Informe Seguimiento # 2 del 20/04/2026 con ejecución Fisíca del 65% y Recursos del 30%; Presupuesto Inicial de $122.412.855 - OCA $19.801.473 para un total de $142.214.328, de los cuales se ha realizado 2 desembolsos; el 1mero. del 30% y 2do. del 65% _ Acta de Terminación del 17/05/2026. (Seg. 19/08/2026) en la espera de la delegación del nuevo apoyo de la supervisión, tada vez que la ingeniera Dalys Milena fue trasladada al DAGRAN. (Seg. 31/08/2026) La supervisión fue trasladada de la profesional Dalis Milena Henao Hincapie al profesional Cristian Camilo Quirama Henao, mediante delegación No. 2026020032597 del 26/08/2026. (Seg. 09/09/2026) Se realizó el 3 pago. Pendiente de liquidar.</t>
  </si>
  <si>
    <t>25AS111B2817</t>
  </si>
  <si>
    <t>JAC CGTO ALTO DE MULATOS</t>
  </si>
  <si>
    <t>ARTICULAR Y COORDINAR ESFUERZOS ENTRE EL DEPARTAMENTO DE ANTIOQUIA Y LA JUNTA DE ACCIÓN COMUNAL CORREGIMIENTO ALTO MULATOS PARA LA EJECUCIÓN DEL MEJORAMIENTO VIAL EN EL MUNICIPIO DE TURBO, ANTIOQUIA</t>
  </si>
  <si>
    <t>VÍA DENOMINADA ALTOS DE MULATOS – EL BARRO (05837VT11) – 100 METROS LÍNEALES</t>
  </si>
  <si>
    <t xml:space="preserve">Terminado 100%, por liquidar. (Seg. 24/07/2026)_ El OAC deberá entregar documentos para liquidar con la inversión total de los recursos entregados por el Dpto. (Seg. 11/08/2026) Informe de Seguimiento del 08/04/2026, Valor Inicial Dpto. $122.439.826 y del OAC de $17.713.338, cuenta con 1 desembolso del 30% del $ 36.731.948, - Acta de Terminación del 29/05/2026 (Seg. 19/08/2026) en la espera de la delegación del nuevo apoyo de la supervisión, tada vez que la ingeniera Dalis Milena fue trasladada al DAGRAN. (Seg. 31/08/2026) La supervisión fue trasladada de la profesional Dalis Milena Henao Hincapie al profesional Cristian Camilo Quirama Henao, mediante delegación No. 2026020032597 del 26/08/2026. (Seg. 09/09/2026) Pendiente el desembolso 2 y 3 </t>
  </si>
  <si>
    <t>ANDRES FELIPE HERRERA CRUZ</t>
  </si>
  <si>
    <t>CABLES AÉREOS</t>
  </si>
  <si>
    <t>CONTRATO INTERADMINISTRATIVO DE MANDATO SIN REPRESENTACIÓN PARA LA ELABORACIÓN DE LOS ESTUDIOS Y DISEÑOS DE DETALLE PARA LA MODERNIZACIÓN DE LOS SISTEMAS DE TRANSPORTE POR CABLE AÉREO – STCA DE LOS MUNICIPIOS DE JARDÍN Y JERICÓ EN EL DEPARTAMENTO DE ANTIOQUIA</t>
  </si>
  <si>
    <t>(Seg. del 17/07/2026) Están en  ejecución los contratos de consultoría e interventoría. A la fecha tiene un avance físico del 0%, y el financiero del 1.77%. autorizado por Gerencia de  $37.639.052. (Seg.03/08/2026) El valor de $1.962.620.233 corresponde a los recursos a administrar que se trasladaron a la cuenta conjunta en el IDEA. Los demás recursos corresponde a honorarios $158.314.789  según informe de seguimiento 01 del 18/12/2025</t>
  </si>
  <si>
    <t>CONVENIO INTERADMINISTRATIVO PARA LA ADECUACIÓN DE LA
CALLE 21 DEL MUNICIPIO DE COCORNÁ, MEDIANTE LA IMPLEMENTACiÓN DE UNA
INTERVENCIÓN DE URBANISMO TÁCTICO DENOMINADA CALLE CONSCIENTE Y SEGURA"</t>
  </si>
  <si>
    <t>CALLE 21</t>
  </si>
  <si>
    <t>Se envió a la financiera el recibo a satisfacción 11-11-2025, son 2 modulos metalicos y señalización horizontal, se envio radicado para que entregen información el 5-12-2025. No cuenta con acta de terminacion, se realizó visita de campo 26-02-2026, falta informe para realizar acta de terminación, informe final del municipio y falta visita de campo de revisión final. supervisor JUAN MIGUEL GÓMEZ ARBELÁEZ . TERMINADO 100%, por liquidar (Seg.21/07/2026) En espera del último informe final del municipo para realizar el desembolso. (Seg. 18/08/2026) Se realizó el desembolso del 70%.(Seg. 08/09/2026) Jaime Informa que realizó visita y la obra esta al 100%, esta a la espera del informe final para liquidar</t>
  </si>
  <si>
    <t>AUNAR ESFUERZOS TÉCNICOS, ADMINISTRATIVOS Y FINANCIEROS ENTRE EL DEPARTAMENTO DE ANTIOQUIA Y EL MUNICIPIO DE CIUDAD BOLIVAR PARA ADELANTAR EL MEJORAMIENTO DE VÍAS URBANAS</t>
  </si>
  <si>
    <t>Calle 51 entre Carrera 49 y 50</t>
  </si>
  <si>
    <r>
      <rPr>
        <rFont val="Calibri"/>
        <color theme="1"/>
        <sz val="11.0"/>
      </rPr>
      <t xml:space="preserve">22/05/2026 ejecurado 100% obra / 100% financiero , en proceso de liquidación - </t>
    </r>
    <r>
      <rPr>
        <rFont val="Calibri"/>
        <color rgb="FFFF0000"/>
        <sz val="11.0"/>
      </rPr>
      <t>Seg 24/07/2026 En Liquidación.</t>
    </r>
  </si>
  <si>
    <t>25AS111B2126</t>
  </si>
  <si>
    <t>VÍA RAMAL LA SOLEDAD 
VÍA GUAMAL</t>
  </si>
  <si>
    <t>Entregaron todos los materiales, pendiente liquidar- (17/04/2026) obra 60%_ (Seg.24/07/2026) Pendiente visita de campo para octubre, informe final, la obra continua en el 80% y financieramente el 100% ya entregó la totalidad de los materiales. (31/08/2026) La supervisión fue trasladada del profesional Jaime Arturo Ospina Giraldo al profesional William Hernán Acuña Vargas, mediante delegación No. 2026020032475 del 25 de agosto de 2026. (Seg. 08/09/2026) El presupuesto es hasta $350.00.000, se entrega $337.076.789, lo que equivale al 100% financiero, acorde a lo ejecutado en obra .</t>
  </si>
  <si>
    <t>LA PINTADA</t>
  </si>
  <si>
    <t>“ARTICULAR Y COORDINAR ESFUERZOS ENTRE EL
DEPARTAMENTO DE ANTIOQUIA Y EL MUNICIPIO DE LA PINTADA PARA LA
EJECUCIÓN DEL MEJORAMIENTO DE LA VÍA BUENOS AIRES EN EL MUNICIPIO DE LA
PINTADA”</t>
  </si>
  <si>
    <t>VIA BUENA VISTA- BUENOS AIRES</t>
  </si>
  <si>
    <t>Prórroga 2, por 1 mes y 23 días, termina el 30/05/2026 _ (10/03/2026) avance de obra 30%  _ 24/04/2026 Avance de obra 53% _ (25/05/2026) avance de obra 85%_ (05/06/2026) terminado, por liquidar al 85%. (Seg. 13/08/2026) Acta de Terminación del 01/06/2026 (Seg. 27/08/2026) Pendiente liquidar.</t>
  </si>
  <si>
    <t>22AS111B739</t>
  </si>
  <si>
    <t>APOYAR AL MUNICIPIO DE SALGAR, CON EL SUMINISTRO DE MATERIALES POR PARTE DEL DEPARTAMENTO DE ANTIOQUIA PARA LLEVAR A CABO EL MEJORAMIENTO DE VIAS TERCIARIAS</t>
  </si>
  <si>
    <t>1. ALTO DE LOS MARINES 05642VT04 
2. CLARA ARRIBA  05642VT07 
3. CLARA ARRIBA 2 05642VT32 
4. TARQUI 05642VT03 
5. BELLAVISTA 205642VT10 
6. BELLAVISTA 1 05642VT09 
7. SANTA LUISA ALTA  - LAS PIKAS  05642VT01</t>
  </si>
  <si>
    <t>(Seg. 11/03/2024) terminan contra liquidación -(Seg. 24/08/2026) Liquidación Bilateral del 29/05/2026 , obra del 99.92% y recursos del 100% , el municipio queda a paz y salvo por todo concepto en todas las obligaciones originadas en el presente convenio. Acta de Cierre de Expediente del 29/05/2026</t>
  </si>
  <si>
    <t>ACTO EN FIRME</t>
  </si>
  <si>
    <t>23AS111B1170</t>
  </si>
  <si>
    <t>APOYAR AL MUNICIPIO DE ANDES, CON EL SUMINISTRO DE MATERIALES POR PARTE DEL DEPARTAMENTO DE ANTIOQUIA PARA LLEVAR A CABO EL MEJORAMIENTO DE VÍAS TERCIARIAS UBICADAS EN EL MUNICIPIO ASOCIADO.</t>
  </si>
  <si>
    <t>ANDES – SAN MIGUEL (05034VT69)
 LA BODEGA – ALTO ZENON – CAÑAVERAL-LA YE (05034VT219)
 RAMAL SAN PEDRO – SAN PEDRO ARRIBA(05034VT84)
 RISARALDA (05034VT03)
 ANILLO EL LIBANO (05034VT90)
 ANDES – LA SOLITA (05034VT01)
 SAN GREGORIO (05034VT86)
 LA BORRAJA (05034VT12)
 LA ESPERANZA (05034VT93)
 SAN ANTONIO (05034VT11)
 VALLE UMBRIA – ANTO LA VENADA(05034VT78)
 SANTA ELENA (05034VT10)
 RIO CLARO (05034VT76)
 SAN AGUSTIN (05034VT83)</t>
  </si>
  <si>
    <t>(06/05/2025) Terminadoal  100%, por liquidar (Seg. 18/08/2026) Liquidación Bilateral el 03/02/2026,  Obra 100% Recursos del 99.99%</t>
  </si>
  <si>
    <t>MARIA YANET VALENCIA CEBALLOS</t>
  </si>
  <si>
    <t>AUNAR ESFUERZOS ENTRE EL DEPARTAMENTO DE ANTIOQUIA Y EL MUNICIPIO DE SAN VICENTE FERRER PARA LA CONSTRUCCIÓN DE LA PLAZA DE MERCADO MUNICIPAL INCLUYENDO OBRAS COMPLEMENTARIAS Y DE ESPACIO PÚBLICO EN EL MUNICIPIO ASOCIADO</t>
  </si>
  <si>
    <t xml:space="preserve">CONSTRUCCIÓN DE LA PLAZA DE MERCADO </t>
  </si>
  <si>
    <t xml:space="preserve">TERMINADO 100% PENDIENTE LIQUIDAR (Seg. 18/08/2026) Acta de Terminación del 13/08/2024 (Seg. 25/08/2026) Pendiente de liquidación, se tiene hasta el 13/02/2027 para adelantar este proceso, con el fin de evitar la pérdida de competencia. </t>
  </si>
  <si>
    <t>EQUIPAMIENTOS</t>
  </si>
  <si>
    <t>INTERVENTORÍA</t>
  </si>
  <si>
    <t>INTERVENTORÍA TÉCNICA, ADMINISTRATIVA, AMBIENTAL, FINANCIERA Y LEGAL PARA EL MEJORAMIENTO DE VÍAS TERCIARIAS DE LOS MUNICIPIOS DEL URABÁ ANTIOQUEÑO.</t>
  </si>
  <si>
    <t>1
 Salsipuedes La Pancha Tramo 2
ARBOLETES: Vía Terciaria La Candelaria-Santa Fe De Las Platas Tramo 1
 Vía Terciaria La Candelaria-Santa Fe De Las Platas Tramo 2
 Vía Terciaria La Candelaria-Santa Fe De Las Platas Tramo 3
CAREPA: Vía Polines 
 Vía Campamento Belencito
CHIGORODÓ: Vía Guapa arriba Tramo 1
 Vía Guapa Arriba Tramo 2
 Vía Remigio Tramo 1
 Vía Remigio Tramo 2
 Vía Remigio Tramo 3
MUTATÁ: Vía Chadó Arriba
NECOCLÍ: Vía Terciaria Necoclí-Ciénaga La Marimonda
 Vía Terciaria El Paraíso -Yokimachena
 (Vía Terciaria El Paraíso -Yokimachena)- La Coroza
SAN JUAN DE URABÁ: Vía Damaquiel - Cedrito Tramo 1
 Vía Damaquiel - Cedrito Tramo 2
SAN PERDRO DE URABÁ:  Vía San Pedro - Santa Rosa Tramo 1
 Vía San Pedro - Santa Rosa Tramo 2
 Vía Terciaria La Rula- Alto San Juan Tramo 1
 Vía Terciaria La Rula- Alto San Juan Tramo 2
TURBO: El Dos - Manuel Cuello Tramo 1
 El Dos - Manuel Cuello Tramo 2</t>
  </si>
  <si>
    <t>(28/08/2024) OBRA SUSPENDIDA, CONTRATO DE INTERVENTORIA TERMINADO - (07/03/2025) En revisión de última documentación para poder liquidar. (20/04/2026) mismo estado. (Seg. 25/08/2026) en Mesa de Ayuda tiene Acta de Terminación del 04/06/2024, oficio de solicitud de documentos para liquidar del 29/08/2026, el 21/08/2026 se realizó nueva designación de supervisor paso de Dalis Milena Hincapié Piedrahita al ingeniero Juan Sebastián Vesga Medina, pendiente liquidación tiene plazo hasta el 04/12/2026.</t>
  </si>
  <si>
    <t>BELLO</t>
  </si>
  <si>
    <t>APOYAR AL MUNICIPIO DE BELLO CON RECURSOS ECONÓMICOS EN EL PROYECTO DE CONSTRUCCIÓN DE LA PLAZA DE MERCADO Y OBRAS COMPLEMENTARIAS.</t>
  </si>
  <si>
    <t>CONSTRUCCIÓN DE LA PLAZA DE MERCADO Y OBRAS COMPLEMENTARIAS.</t>
  </si>
  <si>
    <t>/(15/08/2025) terminado 100%, pendiente liquidar (Seg. 18/08/2026) Acta de Terminación del 30/07/2025, Pendiente Liquidar</t>
  </si>
  <si>
    <t>INTERVENTORÍA TÉCNICA, ADMINISTRATIVA, AMBIENTAL, FINANCIERA Y LEGAL PARA EL MEJORAMIENTO DE VIAS TERCIARIAS DE LOS MUNICIPIOS DEL OCCIDENTE ANTIOQUEÑO.</t>
  </si>
  <si>
    <t>ABRIAQUÍ
Vía Quimula,Vía Altamira - El Encanto (Tramo 1) Vía Altamira - El
ANZÁ: Encanto (Tramo 2)
Vía  Cangrejo (Río 
 Cauca) - Altamira - 
 Vendeagujal 
 Vía Santa Fe de,
CAICEDO: Antioquia -Caicedo- San Juan
DABEIBA: Via Dabeiba -
Camparrusia
GIRALDO: vía Giraldo - Cuajarón
FRONTINO Vía Aeropuerto - San Diego
SABANALARGA:  Via Sabanalarga - El oro
Via El Oro - Llano del Oro
SANTA DE ANTIOQUIA: Vía Santa Fe de Antioquia - La Aldea -Tonusco arriba
URAMITA:  Vía Limón - Cabuyal</t>
  </si>
  <si>
    <t>(18/12/2024) prórroga por un  (1) mes y adición por $54.000.000 _ (29/01/2025) convenio terminado al 100% _ Pendiente por Liquidar -  (Seg.04/08/2026) Acta de Terminación del 03/04/2025 la cual será corregida</t>
  </si>
  <si>
    <t>FINDETER</t>
  </si>
  <si>
    <t>AUNAR ESFUERZOS ENTRE EL DEPARTAMENTO DE ANTIOQUIA Y EL MUNICIPIO DE TÁMESIS, PARA LA EJECUCIÓN DE LAS ACTIVIDADES DE MEJORAMIENTO DE VÍAS URBANAS UBICADAS EN EL MUNICIPIO ASOCIADO.</t>
  </si>
  <si>
    <t>zona urbana, sobre la calle 11 entre carreras 9 y 12, calle 10 entre carreras 11 y carrera 9, calle 11 entre carreras 9 y 11 y la carrera 10 entre calles 11 y 13 correpondiente a la via que dirige desde el parque principal hasta la esquina del zacatín</t>
  </si>
  <si>
    <t xml:space="preserve">Novena ampliación a la suspensión N°1 
SUSPENDIDO hasta abril de 2026
Depende del plan maestro de acueducto y alcantarillado, en octubre de 2025 aprobo el ministerio los ajustes solicitados a diseños, pendiente de nuevo proceso de contratación con ss.pp para dar inicio y poder comenzar con el convenio de pavimentación </t>
  </si>
  <si>
    <t>JOSÉ VALENTÍN SALAZAR GALEANO</t>
  </si>
  <si>
    <t>APARTADÓ</t>
  </si>
  <si>
    <t>APOYAR CON RECURSOS ECONÓMICOS EL PROYECTO "ADECUACIÓN Y MEJORAMIENTO DEL PARQUE LA MARTINA, EN EL MUNICIPIO DE APARTADO - ANTIOQUIA.</t>
  </si>
  <si>
    <t>PARQUE LA MARTINA, EN EL MUNICIPIO DE APARTADO</t>
  </si>
  <si>
    <t>TERMINADO 80 % PENDIENTE LIQUIDAR. (Seg.18/08/2026) pendiente Acta de cierre.</t>
  </si>
  <si>
    <t xml:space="preserve">SIMÓN JARAMILLO GÓMEZ </t>
  </si>
  <si>
    <t>CALDAS</t>
  </si>
  <si>
    <t>APOYAR CON RECURSOS ECONÓMICOS EL PROYECTO
*CONSTRUCCIÓN PARQUES DEL RÍO ABURRÁ EN EL MUNICIPIO DE CALDAS, ANTIOQUIA.
ЕТАРА 1°</t>
  </si>
  <si>
    <t xml:space="preserve"> "CONSTRUCCIÓN PARQUE DEL RÍO ABURRÁ</t>
  </si>
  <si>
    <t>TERMINADO 100% (Seg. 25/08/2026) En Mesa de Ayuda cuenta con Acta de Terminación del 29/06/2024. Pendiente de liquidación, se tiene hasta el 28/12/2026 para adelantar este proceso, con el fin de evitar la pérdida de competencia.  La obra presenta una ejecución física del 100 %. (Seg. 28/08/2026) Los recursos aportados por el Departamento fueron desembolsados en un 100 % a la cuenta conjunta del municipio en el IDEA. De igual manera, se autorizó el desembolso del 100% de los recursos y se cuenta con la documentación de soporte correspondiente. El aporte departamental fue de $5.000.000.000, $250.000.000 por contribución especial del 5 % y un desembolso neto para obra de $4.750.000.000. No hay pagos ni desembolsos pendientes a favor del municipio. Actualmente el municipio está trabajando en la presentación de solicitud de reembolso de rendimientos financieros al Departamento. El total reembolsado es por$206.270.702 de rendimientos y $207.417.986 son el total al 27 de agosto de 2026, lo que nos da una diferencia de $1.147.284 a favor del Departamento. La obra se encuentra concluida y recibida a satisfacción por parte del municipio. El municipio aún tiene pendiente el cierre de algunos contratos derivados, presentación al Departamento de la correspondiente documentación y cierre de cuenta, para proceder con la liquidación del convenio.</t>
  </si>
  <si>
    <t>VANESSA BETANCUR MARTINEZ</t>
  </si>
  <si>
    <t>APOYAR CON RECURSOS ECONOMICOS EL PROYECTO "CONTRUCCION DEL ESPACIO PUBLICO PARQUE DE LA QUEBRADA DONMATIAS, ANTIOQUIA - ESTAPA N°1</t>
  </si>
  <si>
    <t>PARQUE DE LA QUEBRADA DONMATIAS, ANTIOQUIA - ESTAPA N°1"</t>
  </si>
  <si>
    <t>(26/09/2024) prórroga por 2 meses hasta el 15/11/2024 (12/11/2024) convenio termina en el tiempo, no van a prorrogar. (15/11/2024) Pendiente visita a campo para verificar obra y proceder a liquidar convenio. (Seg. 26/08/2026)  En Mesa de Ayuda cuenta con Acta de Terminación del 15/11/2024</t>
  </si>
  <si>
    <t>JESSICA DURAN CARVAJAL</t>
  </si>
  <si>
    <t>BELMIRA</t>
  </si>
  <si>
    <t>APOYAR CON RECURSOS ECONÓMICOS EL PROYECTO "CONSTRUCCIÓN PRIMERA ETAPA DEL PROYECTO PARQUE DE LA TRUCHA - RÍO CHICO, EN EL MUNICIPIO DE BELMIRA"</t>
  </si>
  <si>
    <t>Parque de la trucha - río Chico Etapa 1</t>
  </si>
  <si>
    <t>(29/09/2025) TERMINADO 100%, pendiente último pago, por liquidar. (Seg. 24/08/2026) Liquidación Bilateral del 07/05/2026, obra del 100% y  recursos 99.84%, El Municipio queda a paz y salvo por todo concepto en todas la obligaciones originadas en el  presente convenio, Acta de Cierre de Expediente del 03/08/2026.</t>
  </si>
  <si>
    <t>APOYAR CON LOS RECUERSOS ECONÓMICOS EL PROYECTO "REMODELACIÓN DEL PARQUE PRINCIPAL EPIFANIO MEJÍA Y SU ESPACIO PUBLICO ADYACENTE EN EL MUNICIPIO DE YARUMAL.</t>
  </si>
  <si>
    <t xml:space="preserve"> "REMODELACIÓN DEL PARQUE PRINCIPAL EPIFANIO MEJÍA</t>
  </si>
  <si>
    <t>SIMÓN JARAMILLO GÓMEZ</t>
  </si>
  <si>
    <t>LA ESTRELLA</t>
  </si>
  <si>
    <t>APOYAR CON RECURSOS ECONOMICOS EL PROYECTO "CONTRUCCIÓN DEL PARQUE DEL MOVIMIENTOS EN EL SECTOR DE LA INMACULADA" EN EL MUNICIPIO DE LA ESTRELLA - ANTIOQUIA.</t>
  </si>
  <si>
    <t xml:space="preserve"> "CONTRUCCIÓN DEL PARQUE DEL MOVIMIENTOS EN EL SECTOR DE LA INMACULADA" EN EL MUNICIPIO DE LA ESTRELLA</t>
  </si>
  <si>
    <t xml:space="preserve">TERMINADO 100% POR LIQUIDAR  (Seg. 26/08/2026) En Mesa de Ayuda cuenta con Acta de Terminación del 29/09/2024, Informe de Seguimiento # 13 del 19/11/2024, 0bra y recursos del 100 %. (Seg. 28/08/2026) La obra presenta una ejecución física del 100 %. Los recursos aportados por el Departamento fueron desembolsados en un 100 % a la cuenta conjunta del municipio en el IDEA, mientras que la ejecución financiera consolidada registrada para el proyecto es del 93,35 %. El balance final correspondiente a los recursos del Departamento da un remanente departamental de $394.081.623, de los cuales se está procesando un último desembolso por $392.137.100,57 y un remanente final de $1.944.522,43. El contrato de obra n.º 032 de 2023 cuenta con acta de liquidación bilateral firmada. La obra se encuentra concluida y recibida a satisfacción por parte del municipio. Está pendiente el último desembolso, la liberación del saldo no ejecutado y el certificado de cancelación o saldo cero de la cuenta conjunta del IDEA. Se solicitó al Municipio aportar los documentos pendientes para el desembolso final, reembolso de rendimientos financieros, reintegro de remanentes y cierre de cuenta, para proceder con la liquidación del convenio.
</t>
  </si>
  <si>
    <t>APOYAR CON RECURSOS ECONOMICOS EL PROYECTO "CONTRUCCIÓN DE LA SEGUNDA ETAPA DEL PROYECTO PARQUES DE LA QUEBRADA LA MOSCA DEL MUNICIPIO DE GUARNE - ANTIOQUIA.</t>
  </si>
  <si>
    <t>SEGUNDA ETAPA DEL PROYECTO PARQUES DE LA QUEBRADA LA MOSCA</t>
  </si>
  <si>
    <t>(24/04/2025) TERIMINADO 100% PENDIENTE LIQUIDAR (Seg.25/08/2026) Cuenta con Acta de Terminación del 14/06/2024,  Obra 80%, recursos del 100 %(IDEA) 56.01%, autorización de uso de recursos. Pendiente de liquidación, se tiene hasta el 14/12/2026 para adelantar este proceso, con el fin de evitar la pérdida de competencia. (Seg. 26/08/2026) se esta proyectando el acta de liquidación a la espera de los soporte de pago del municipio . se tiene hasta el 13/12/2026 para tener competención de liquidación</t>
  </si>
  <si>
    <t>JHONY STIVEN MIRA GALLO</t>
  </si>
  <si>
    <t>INTERVENTORIA</t>
  </si>
  <si>
    <t>CONSTRUCCIÓN PRIMERA
ETAPA DEL MIRADOR EL VAHO
OBRAS COMPLEMENTARIAS QUE HACE PARTE DEL PROYECTO
CAMINO DE LA LIBERTAD Y LA NO VIOLENCIA - EN LA VÍA LA USA (RIO CAUCA) - CAICEDO (25BAN06) EN LA SUBREGIÓN OCCIDENTE DEL DEPARTAMENTO DE ANTIOQUIA</t>
  </si>
  <si>
    <t>INTERVENTORIA OBRA MIRADOR EL VAHO " PRIMERA ETAPA"</t>
  </si>
  <si>
    <t xml:space="preserve">
MIRADOR EL VAHO
LIQUIDADO</t>
  </si>
  <si>
    <t>ABRIAQUI</t>
  </si>
  <si>
    <t>AUNAR ESFUERZOS ENTRE EL DEPARTAMENTO DE ANTIOQUIA Y EL MUNICIPIO DE ABRIAQUÍ PARA EL PROYECTO “ADECUACIÓN Y MEJORAMIENTO DEL PARQUE PRINCIPAL DEL MUNICIPIO DE ABRIAQUÍ, ANTIOQUIA”</t>
  </si>
  <si>
    <t xml:space="preserve"> PARQUE PRINCIPAL DEL MUNICIPIO DE ABRIAQUÍ</t>
  </si>
  <si>
    <t xml:space="preserve">"(08/04/2024) aprobado desembolso # 2 (30/01/2025) TERMINADO al 100%, por liquidar- (Seg. 25/08/2026) en mesa de ayuda  tiene acta de terminación del 22/04/2024, obra del 88%, recursos del 100% (IDEA) -( 79.9% autorización uso de recursos - dpto.), solicitud # 3 de documentos para liquidación del 05/03/2025. (Seg, 26/08/2026 ) En revisiónde la Jurídica y a la espera de documentación del Municipio.
"
"
"
</t>
  </si>
  <si>
    <t>AUNAR ESFUERZOS ENTRE EL DEPARTAMENTO DE ANTIOQUIA Y EL MUNICIPIO DE ANZA PARA EL PROYECTO "ADECUACIÓN Y MEJORAMIENTO DEL
PARQUE PRINCIPAL Y VIAS URBANAS DEL MUNICIPIO DE ANZÁ"</t>
  </si>
  <si>
    <t xml:space="preserve"> PARQUE PRINCIPAL DEL MUNICIPIO DE ANZÁ</t>
  </si>
  <si>
    <t>(07/02/2024) prórroga aprobada por 3 meses hasta el 10/05/2024 (06/05/2024) Municipio dice que van a terminar en el tiempo programado . (14/06/2024) se envio al municipio abservaciones de la autoriza de uso de recursos # 5 y se envio acta de terminación - TERMINADO 100%. (Seg. 25/08/2026)  en mesa de ayuda tiene Acta de Terminación del 14/05/2024, solicitud " 2 de documentos para para liquidación del 05/03/2026. (Seg. 26/08/2026) L aliquidación en Revisión de la Jurídica, sin embargo, se está a la espera de los documentos del Municipio para liqudidar.</t>
  </si>
  <si>
    <t>APOYAR CON RECURSOS ECONÓMICOS EL PROYECTO "CONSTRUCCIÓN PARQUE DE LA QUEBRADA LA CHAPARRALA EN EL MUNICIPIO DE ANDES - ANTIOQUIA.</t>
  </si>
  <si>
    <t>Parques de la Quebrada La Chaparrala Etapa 1</t>
  </si>
  <si>
    <t>(13/05/2025) aprobación de prórroga por 3 meses, nueva fecha de terminación 28/08/2025, Acta de terminación- (29/09/2025) obra 99%, (Seg. 24/07/2026) El Recursos está depositado en el IDEA, en un 100%, sin embargo, se está pendiente visita, y documentación del municipio para poder autorizar el último desembolso. 31/08/2026) La supervisión fue trasladada del profesional Jaime Arturo Ospina Giraldo al profesional William Hernán Acuña Vargas, mediante delegación No. 2026020032475 del 25 de agosto de 2026.</t>
  </si>
  <si>
    <t>CAROLINA VARGAS</t>
  </si>
  <si>
    <t>EL SANTUARIO</t>
  </si>
  <si>
    <t>AUNAR ESFUERZOS ENTRE EL DEPARTAMENTO DE ANTIOQUIA Y EL MUNICIPIO DE EL SANTUARIO PARA EL PROYECTO "CONSTRUCCIÓN DE LA PRIMERA ETAPA DE PARQUES DEL RIO EN EL MUNICIPIO DE EL SANTUARIO, ANTIOQUIA</t>
  </si>
  <si>
    <t>CONSTRUCCIÓN DE LA PRIMERA ETAPA DE PARQUES DEL RIO EN EL MUNICIPIO DE EL SANTUARIO</t>
  </si>
  <si>
    <t>12/08/2024 convenio liquidado el 01/08/2024</t>
  </si>
  <si>
    <t>"AUNAR ESFUERZOS ENTRE EL DEPARTAMENTO DE ANTIOQUIA Y EL MUNICIPIO DE BETULIA PARA EL PROYECTO "MEJORAMIENTO Y ADECUACIÓN DEL PARQUE PRINCIPAL DEL CORREGIMIENTO DE ALTAMIRA EN EL
MUNICIPIO DE BETULIA, ANTIOQUIA"</t>
  </si>
  <si>
    <t>PARQUE PRINCIPAL DEL CORREGIMIENTO DE ALTAMIRA</t>
  </si>
  <si>
    <t>PARQUE PRINCIPAL CORREGIMIENTO DE ALTAMIRA ( 14/08/2024) pendiente liquidación y  pago, a la espera de que el municipio envie el informe final - TERMINADO 100%, por liquidar. (Seg. 25/08/2026) Cuenta con Acta de Terminación  e informe de seguimiento #6 del  18/06/2024,  Obra 100 % (segín informe de supervisión del municipio con corte al 17/06/2024), recursos del 100%  (trasladasos al IDEA). Pendiente de liquidación, se tiene hasta el 17/12/2026 para adelantar este proceso, con el fin de evitar la pérdida de competencia. (Seg 26/08/2026) se proyectará la liquidación, se esta a la espera de los soporte de pago que debe enviar el municipio. se tiene hasta el 17/12/2026 para tener competencia de liquidación.</t>
  </si>
  <si>
    <t>LA CEJA</t>
  </si>
  <si>
    <t>AUNAR ESFUERZOS ENTRE EL DEPARTAMENTO DE ANTIOQUIA Y EL MUNICIPIO DE LA CEJA PARA LA EJECUCIÓN DE ACTIVIDADES NECESARIAS PARA LA MODERNIZACIÓN DE LA PLAZA DE MERCADO DEL MUNICIPIO ASOCIADO</t>
  </si>
  <si>
    <t xml:space="preserve"> MODERNIZACIÓN DE LA PLAZA DE MERCADO LA CEJA</t>
  </si>
  <si>
    <t xml:space="preserve">
"MODERNIZACIÓN DE LA PLAZA DE MERCADO - NOTA: El alcance del objeto del presente convenio es la ejecución de los recursos de los asociados, para la ejecución de las actividades necesarias para la modernización de la plaza de mercado de la Ceja del municipio de La Ceja del Tambo, Antioquia. El cual no se agota con la entrega del aporte, sino con la efectiva ejecución de las actividades presentadas por el municipio asociado. - (24/04/2025) terminado, pendiente última autorización de recursos - (21/05/2025) municipio reporta 96% avance de obra. (Seg. 26/08/2026) Se tiene  hasta el 17/10/2026 para liquidar - Obra del 100% recursos desembolsados el 58.30% pendientes por cobrar, $1.645.597.639
"
</t>
  </si>
  <si>
    <t>OSCAR DAVID DUMAR OYOLA</t>
  </si>
  <si>
    <t>AUNAR ESFUERZOS ENTRE EL MUNICIPIO DE CAICEDO Y EL DEPARTAMENTO DE ANTIOQUIA PARA LA CONSTRUCCIÓN DEL MUSEO DE LA NO VIOLENCIA, EN EL MARCO DEL PROYECTO CAMINO DE LA LIBERTAD Y LA NO VIOLENCIA EN EL MUNICIPIO ASOCIADO".</t>
  </si>
  <si>
    <t>MUSEO DE LA NO VIOLENcia</t>
  </si>
  <si>
    <t xml:space="preserve">06/06/2025 avance de obras 80%, recursos 100% en IDEA,pendiente últimos reportes por parte del municipio para terminar convenio
20/06/2025 TERMINAN CONTRALIQUIDACIÓN 
21/07/2025 pendiente vista a campo por parte del supervisor
28/08/2025 terminado pendiente liquidar
</t>
  </si>
  <si>
    <t>“AUNAR ESFUERZOS ENTRE EL DEPARTAMENTO Y EL MUNICIPIO DE VEGACHI PARA EL PROYECTO “CONSTRUCCIÓN PARQUES DEL RIO, ETAPA 1, EN EL MUNICIPIO DE VEGACHI, ANTIOQUIA”</t>
  </si>
  <si>
    <t xml:space="preserve"> "CONSTRUCCION PARQUES DEL RIO, ETAPA 1, EN EL MUNICIPIO DE VEGACHI</t>
  </si>
  <si>
    <t>(28/04/2025) municipio reporta avance de obra del 87%, terminan contra liquidación. (12/06/2025) pendiente visita a campo para verificar ejcución de obra, avance 91%. (21/07/2025) pendiente que municipio envie documención  para el último pago. (Seg. 26/08/2026) Recursos desembolsados del 74.05% pendiente 923.228.837, Obra está en el 100%.</t>
  </si>
  <si>
    <t>CHIGORODÓ</t>
  </si>
  <si>
    <t xml:space="preserve">AUNAR ESFUERZOS TÉCNICOS, ADMINISTRATIVOS Y FINANCIEROS PARA LA EJECUCIÓN, PUESTA EN MARCHA Y OPERACIÓN DEL SISTEMA DE BICICLETAS COMPARTIDAS E INTERVENCIÓN DE LA CALLE 93 EN EL MUNICIPIO DE CHIGORODÓ. 
</t>
  </si>
  <si>
    <t>SISTEMA DE BICICLETAS COMPARTIDAS 
I.E CHIGORODÓ , I.E MARIA AUXILIADORA Y CALLE 93, 200 BICICLETAS, ADECUACIÓN 58 CICLOPARQUEADEROS, 2 MÓDULOS DE PARQUEADEROS DE 36M2 ,URBANISMO TÁCTICO</t>
  </si>
  <si>
    <t>09/05/2025 avance 62%
 12/06/2025 se ha autorizado 1 uso de recurso, municipio reporta 72% de avance
 21/7/2025 avance de obra 79%
 04/02/2026 prorroga 2, hasta el 22 de abril de 2026
 avance de obra 100%, operación 75% (Seg.</t>
  </si>
  <si>
    <t>24AS111B1979-2</t>
  </si>
  <si>
    <t>El Anime
DOLORES (LAS ANIMAS)
VIA SAN PEDRO 1 Y 2
VEREDA SAN FRANCISCO
VEREDA EL RAYO - SANTA GERTRUDIS 1 Y 2
VEREDA EL BALSAL (GUADALEJO)</t>
  </si>
  <si>
    <r>
      <rPr>
        <rFont val="Calibri"/>
        <color rgb="FF000000"/>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 Seg.22/07/2026) </t>
    </r>
    <r>
      <rPr>
        <rFont val="Calibri"/>
        <color rgb="FF000000"/>
        <sz val="11.0"/>
      </rPr>
      <t xml:space="preserve">Se ha requerido a Comité de Cafeteros por 3 oportunidades. Se encuentran recopilando la documentación solicitada para liquidar el convenio.(Seg. 08/09/2026) El presupuesto es hasta $225.114.245, se entrega $198,403,390  lo que equivale al 100% financiero, acorde a lo ejecutado en obra .
</t>
    </r>
  </si>
  <si>
    <t>24AS111B1979-3</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</si>
  <si>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</si>
  <si>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24AS111B1979-4</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</si>
  <si>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</si>
  <si>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24AS111B1979-5</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</si>
  <si>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</si>
  <si>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24AS111B1979-6</t>
  </si>
  <si>
    <t>ANGOSTURA</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</si>
  <si>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</si>
  <si>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24AS111B1979-7</t>
  </si>
  <si>
    <t>SANTA ROSA DE OSOS</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</si>
  <si>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</si>
  <si>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24AS111B1979-8</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</si>
  <si>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</si>
  <si>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24AS111B1979-9</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</si>
  <si>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</si>
  <si>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24AS111B1979-10</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</si>
  <si>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</si>
  <si>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24AS111B1979-11</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</si>
  <si>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</si>
  <si>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24AS111B1979-12</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</si>
  <si>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</si>
  <si>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24AS111B1979-13</t>
  </si>
  <si>
    <t>ANGELOPOLIS</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</si>
  <si>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</si>
  <si>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24AS111B1979-14</t>
  </si>
  <si>
    <t>CONCORDIA</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</si>
  <si>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</si>
  <si>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24AS111B1979-15</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</si>
  <si>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</si>
  <si>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24AS111B1979-16</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</si>
  <si>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</si>
  <si>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24AS111B1979-17</t>
  </si>
  <si>
    <t>PUEBLORRICO</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</si>
  <si>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</si>
  <si>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24AS111B1979-18</t>
  </si>
  <si>
    <t>TITIRIBÍ</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</si>
  <si>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</si>
  <si>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24AS111B1979-19</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</si>
  <si>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</si>
  <si>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24AS111B1979-20</t>
  </si>
  <si>
    <t>EBEJICO</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</si>
  <si>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</si>
  <si>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24AS111B1979-21</t>
  </si>
  <si>
    <t>VENECIA</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</si>
  <si>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</si>
  <si>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24AS111B1979-22</t>
  </si>
  <si>
    <t>URRAO</t>
  </si>
  <si>
    <r>
      <rPr>
        <rFont val="Calibri"/>
        <color theme="1"/>
        <sz val="11.0"/>
      </rPr>
      <t xml:space="preserve">26/11/2025  prórroga por 4 meses hasta el 30 de marzo 2026 APROBADA
AVANCE DE OBRA 60%, RECURSOS 45% 10/02/2026 ejecución fisica 76%, ejecución de recursos 67,66%
16/07/2026 avance fisico 100%  avance financiero 100%, con  acta de terminación, por liquidar  y a la espera de entrega de documentos . 
seguimiento 22/07/2026 </t>
    </r>
    <r>
      <rPr>
        <rFont val="Calibri"/>
        <color rgb="FFFF0000"/>
        <sz val="11.0"/>
      </rPr>
      <t xml:space="preserve">Se ha requerido a Comité de Cafeteros por 3 oportunidades. Se encuentran recopilando la documentación solicitada para liquidar el convenio
</t>
    </r>
  </si>
  <si>
    <t>CONVOCATORIA  3</t>
  </si>
  <si>
    <t>APOYAR AL MUNICIPIO DE PUEBLORRICO CON EL SUMINISTRO DE MATERIALES POR PARTE DEL DEPARTAMENTO DE ANTIOQUIA PARA LLEVAR A CABO EL MEJORAMIENTO DE VÍAS TERCIARIAS UBICADAS EN EL MUNICIPIO ASOCIADO</t>
  </si>
  <si>
    <t>vía que conduce desde el casco urbano hacia la vereda del Sinaí.</t>
  </si>
  <si>
    <t xml:space="preserve">(25/06/2024) Prórroga por 5 meses hasta el 14/11/2024. (12/11/2024) prórroga por 2 meses y adicción $524.950.402, termina el 14/01/2025. (15/05/2025) Con acta de terminación firmada y en mesa de ayuda, pendiente de terminar la obra y liquidar. (28/04/2026) obra 80%, pendiente la documentación por parte del municipio para poder liquidar_ (Seg. 22/07/2026) Pendiente de documentacion del Municpio para autorización de uso de recurso y para liquidar. (Seg. 27/08/2026) el 19/08/26, la supervisión  fue trasladada de la profesional Margarita Rosa Lopera Duque a la profesional Sandra Elena Montoya Rojas, mediante delegación No. 2026020031425 del 19 de agosto de 2026.
</t>
  </si>
  <si>
    <t>23AS111B1150</t>
  </si>
  <si>
    <t>VIA EL CEDRON,VIA PUEBLORRICO - LA ENVIDIA,EL MANDARINO</t>
  </si>
  <si>
    <r>
      <rPr>
        <rFont val="Calibri"/>
        <color theme="1"/>
        <sz val="11.0"/>
      </rPr>
      <t xml:space="preserve">
 El Municipio solicita terminación anticipada el 23/11/2023, para lo cual se realiza acta de terminación con dicha fecha
NO SE HA REALIZADO LIQUIDACIÓN
07/11/2025 Se envía correo a liquidaciones solicitando la liquidación del mismo
02/03/2026 se realizó liquidación</t>
    </r>
    <r>
      <rPr>
        <rFont val="Calibri"/>
        <color rgb="FFFF0000"/>
        <sz val="11.0"/>
      </rPr>
      <t xml:space="preserve">
</t>
    </r>
  </si>
  <si>
    <t>LIQUIDACIÓN UNILATERAL</t>
  </si>
  <si>
    <t>"AUNAR ESFUERZOS ENTRE EL DEPARTAMENTO DE ANTIOQUIA Y EL MUNICIPIO DE LA PINTADA, PARA LA EJECUCIÓN DEL MEJORAMIENTO DE VÍAS URBANAS UBICADAS EN EL MUNICIPIO ASOCIADO"</t>
  </si>
  <si>
    <t>1. Calle Principal Buenavista
2. Calle interna Buena Vista
3. Calle salida El Cairo</t>
  </si>
  <si>
    <r>
      <rPr>
        <rFont val="Calibri"/>
        <color theme="1"/>
        <sz val="11.0"/>
      </rPr>
      <t>12/02/2024 TERMINADO 100%
desembolso 100%
12/02/2025 se envía solicitud de documentos para liquidar
Pendiente cancelación de la cuenta 21/07/2026</t>
    </r>
    <r>
      <rPr>
        <rFont val="Calibri"/>
        <color rgb="FFFF0000"/>
        <sz val="11.0"/>
      </rPr>
      <t xml:space="preserve">
</t>
    </r>
  </si>
  <si>
    <t>23AS111B893</t>
  </si>
  <si>
    <t>CARAMANTA</t>
  </si>
  <si>
    <t>APOYAR AL MUNICIPIO DE CARAMANTA, CON EL SUMINISTRO DE MATERIALES POR PARTE DEL DEPARTAMENTO DE ANTIOQUIA PARA LLEVAR A CABO EL MEJORAMIENTO
DE VÍAS TERCIARIAS UBICADAS EN EL MUNICIPIO ASOCIADO</t>
  </si>
  <si>
    <t>VIA ALEGRIAS- AGUADITA</t>
  </si>
  <si>
    <t>15/11/2023: TERMINADO 100%
El municipio no ha pasado documentación para la liquidación
05/05/2025 tercera solicitud de documentos para liquidar</t>
  </si>
  <si>
    <t>AUNAR ESFUERZOS ENTRE EL DEPARTAMENTO DE ANTIOQUIA Y
EL MUNICIPIO DE CARAMANTA, PARA LLEVAR A CABO EL MEJORAMIENTO DE VÍAS
TERCIARIAS UBICADAS EN EL MUNICIPIO ASOCIADO</t>
  </si>
  <si>
    <t>1. Caramanta  - Sucre
2. Alegrías - Las aguaditas
3. Caramanta - palmichal</t>
  </si>
  <si>
    <t>El 10/23/2023 se realizó ultima autorización entrega de materiales
Se autorizó el primer uso de recurso por $432.709.462  el 09/27/2023
Se autorizó el segundo uso de recurso por $423.395.704 el 8/11/2023
El  avance de la obra es de  60%
11/12/2023 SE AUTORIZÓ TERCER USO DE RECURSOS POR $331.043.543 EL 30 DE NOVIEMBRE de 2023
Como no se presentó por parted del mpio los C.E de interventoria que era el aporte del mismo,
05/05/2025 se envío oficio solicitando documentos
 07/05/2025 se realizó reunión con la directora de Legales y el alcalde y se quedo en que en noviembre ellos presentaban C.E y nosotros desembolsamos y liquidamos de acuerdo a dichos pagos</t>
  </si>
  <si>
    <t>LIQUIDACIÓN</t>
  </si>
  <si>
    <t>23AS111B1151</t>
  </si>
  <si>
    <t>APOYAR AL MUNICIPIO DE VENECIA CON EL SUMINISTRO DE MATERIALES POR PARTE DEL DEPARTAMENTO DE ANTIOQUIA PARA LLEVAR A CABO EL MEJORAMIENTO DE VÍAS TERCIARIAS UBICADAS EN EL MUNICIPIO ASOCIADO</t>
  </si>
  <si>
    <t>Venecia-El Recreo, Ramales Palmichal,Principal -Santa Ana</t>
  </si>
  <si>
    <t>TERMINADO 100% - Por liquidar .( Seg. 22/07/2026) - esta en proceso de Liquidado. (Seg. 27/08/2026) Liquidación Bilateral del  03/08/2026, obra 100%, recursos 98.71%. Quedar a paz y salvo por todo concepto en todas la obligaciones originadas en el  presente convenio. La supervisión  fue trasladada de la profesional Margarita Rosa Lopera Duque a la profesional Sandra Elena Montoya Rojas, mediante delegación No. 2026020031425 del 19 de agosto de 2026. Pendiente Cierre Expediente. (Seg. 16/09/2026 ) Cierre de Expediente el 21/08/2026</t>
  </si>
  <si>
    <t>23AS111B942</t>
  </si>
  <si>
    <t>APOYAR AL MUNICIPIO DE TÁMESIS, CON EL SUMINISTRO DE MATERIALES POR PARTE DEL DEPARTAMENTO DE ANTIOQUIA PARA LLEVAR A CABO EL MEJORAMIENTO
DE VÍAS TERCIARIAS UBICADAS EN EL MUNICIPIO ASOCIADO</t>
  </si>
  <si>
    <t>LA ALACENA-RIO FRIO, EL RAYO-ENCANTO- SAN ISIDRO</t>
  </si>
  <si>
    <t xml:space="preserve"> TERMINADO 100%
14/06/2024 ACTA DE TERMINACIÓN
10/03/2025 se realizó visita a campo por parte del supervisor, en revisión de detalles para liquidar, el municipio no ha enviado documentación para liquidar
20/02/2026 se envió documentación final para liquidar
Liquidado bilateralmente 07/05/2026</t>
  </si>
  <si>
    <t>AUNAR ESFUERZOS ENTRE EL DEPARTAMENTO DE ANTIOQUIA Y EL MUNICIPIO DE COPACABANA, PARA LA EJECUCIÓN DEL MANTENIMIENTO DE LA VÍA Y PUENTES DEL SECTOR METROMEZCLAS UBICADOS EN EL MUNICIPIO ASOCIADO</t>
  </si>
  <si>
    <t>METROMEZCLAS</t>
  </si>
  <si>
    <t>CONVENIO QUE SURGIO POR ACCION POPULAR FALLADA POR JUEZ.
10/03/2025 aprobada prorroga por 1 mes y 15 dias termina 12/04/2025
03/04/2025 terminan en el plazo estipulado, recursos enviados 100% al IDEA
TERMINADO 98%, Pendiente por liquidar
16/06/2025 se autorizó uso de recursos #1 por valor de $743.925.361 de recursos del departamento, pendiente que envien documentación final para poder liquidar
Seguimiento 22/07/2027 Pendiente que el municipio reintegre rendimientos, cancele cuenta y aporte comprobantes de egreso del último desembolso</t>
  </si>
  <si>
    <t>veredas San Pablo medio a San Pablo Arriba del municipio de Nechi</t>
  </si>
  <si>
    <t xml:space="preserve">28/04/2026 terminado 100%, pendiente último desembolso y liquidar
</t>
  </si>
  <si>
    <t>22AS111B737</t>
  </si>
  <si>
    <t>APOYAR AL MUNICIPIO DE ALEJANDRIA, CON EL SUMINISTRO DE MATERIALES POR PARTE DEL DEPARTAMENTO DE ANTIOQUIA PARA LLEVAR A CABO EL MEJORAMIENTO DE VIAS TERCIARIAS</t>
  </si>
  <si>
    <t>CHIRRILLAS - CAÑADAHONDA,ENTRADA HIDROELÉCTRICA ALEJANDRÍA,VÍA ESCUELA EL POPO,VIA A SAN JOSE,ALTO DE CRUCES - ESCUELA LA INMACULADA</t>
  </si>
  <si>
    <t>LIQUIDADO UNILATERAL</t>
  </si>
  <si>
    <t>22AS111B719</t>
  </si>
  <si>
    <t>APOYAR AL MUNICIPIO DE AMAGÁ, CON EL SUMINISTRO DE MATERIALES POR PARTE DEL DEPARTAMENTO DE ANTIOQUIA PARA LLEVAR A CABO EL MEJORAMIENTO DE VIAS TERCIARIAS</t>
  </si>
  <si>
    <t>Cedro Parte Baja, Camilo C-Pueblito De Los Sanchez- Pueblito De San José, Camilo C - Guaimaral, Troncal Del Café - Vereda Travesías</t>
  </si>
  <si>
    <t>(20/06/2024) EL 17 DE JUNIO El municipio solicitó liquidar el convenio, por lo cual se procederá a liquidar. 10/03/205 con acta de terminación en mesa de ayuda % avance fisico 31% , financiero 50% (Seg. 24/07/2026)_Se realizó visita el 12/06/2026 y se envío a liquidaciones el 10/06/2026_D. Asuntos Legales el 07/01/2026</t>
  </si>
  <si>
    <t>22AS111B754</t>
  </si>
  <si>
    <t>APOYAR AL MUNICIPIO DE BARBOSA, CON EL SUMINISTRO DE MATERIALES POR PARTE DEL DEPARTAMENTO DE ANTIOQUIA PARA LLEVAR A CABO EL MEJORAMIENTO DE VIAS TERCIARIAS</t>
  </si>
  <si>
    <t xml:space="preserve">(12/03/2024) no solicitarán prórroga ya que sólo ejecutarán el porcentaje del material recibido_ (15/03/2024) no van a ejecutar mas, solo el 65% - POR LIQUIDAR - (Seg. 22/07/2026)_ El municipio solicitó plazo hasta el 14 de agosto para demostrar la ejecución al 100% y no tener que devolver recursos. (Seg. 18/09/2026) Liquidación Bilateral del 16/09/2026, obra 76.5% 535/700 metros, con el 100% de los materiales entregados, es decir  $141.959.5452 en especie, recurso 68%. Quedar a Paz y Salvo. Pendiente Cierre de Expediente </t>
  </si>
  <si>
    <t>22AS111B747</t>
  </si>
  <si>
    <t>APOYAR AL MUNICIPIO DE BRICEÑO, CON EL SUMINISTRO DE MATERIALES POR PARTE DEL DEPARTAMENTO DE ANTIOQUIA PARA LLEVAR A CABO EL MEJORAMIENTO DE VIAS TERCIARIAS</t>
  </si>
  <si>
    <t>Vía Las Auras - El Polvillo - Palestina,Valle de Toledo - Buena vista,Vía Las Auras - Escuela La Vélez,Bodega Campo Alegre - Campo Alegre,El Pescado - La América - La Molina,Orejón - Vía el Valle - Hidroituango,El Roblal (La Y) - Pueblo Nuevo</t>
  </si>
  <si>
    <t>22AS111B749</t>
  </si>
  <si>
    <t>APOYAR AL MUNICIPIO DE CAÑASGORDAS, CON EL SUMINISTRO DE MATERIALES POR PARTE DEL DEPARTAMENTO DE ANTIOQUIA PARA LLEVAR A CABO EL MEJORAMIENTO DE VIAS TERCIARIAS</t>
  </si>
  <si>
    <t>La Loma,Canelo,San Pascual,La manga,La Aguada - Santo Domingo (Sector Buenavista),Uvital,Imantago - San Luis,La Estrella Parte Baja</t>
  </si>
  <si>
    <t>Terminado 100% . (Seg. 05/08/2026) Acta de Terminación  del 23/09/2023 - obra y recursos del 100%, pendiente documentos del municipio, visita para liquidar.</t>
  </si>
  <si>
    <t>22AS111B722</t>
  </si>
  <si>
    <t>APOYAR AL MUNICIPIO DE EL BAGRE, CON EL SUMINISTRO DE MATERIALES POR PARTE DEL DEPARTAMENTO DE ANTIOQUIA PARA LLEVAR A CABO EL MEJORAMIENTO DE VIAS TERCIARIAS</t>
  </si>
  <si>
    <t>EL BAGRE - PUERTO LÓPEZ - Cód. 05240VT20</t>
  </si>
  <si>
    <t>TERMINADO 100% - Convenio finalizado el 13/003/2024. Cuenta con las 3 entrega establecidas en el convenio. Obra a 100% TERMINADO 100% (29/01/2025) Pendiente Liquidación y visita final. (Seg. 25/08/2026) En mesa de ayuda tiene acta de terminación e informe de seguimiento # 4 del 13/03/2024, Obra del 70%, recursos del 100%. (Seg.16/09/2026) Liquidación Unilateral del 01/09/2026. Obra ejecutó 200 mts. de 700 programados, 28.57%, recursos ejecutó $57.576.021 = 27.44%. El municipio debera compensar el aporte entregado en especie $152.212.348. Citación a Notificación Personal del 07/09/2026. Notificación Personal del 14/09/2026.</t>
  </si>
  <si>
    <t>$152.212.348</t>
  </si>
  <si>
    <t>22AS111B746</t>
  </si>
  <si>
    <t>APOYAR AL MUNICIPIO DE EL PEÑOL, CON EL SUMINISTRO DE MATERIALES POR PARTE DEL DEPARTAMENTO DE ANTIOQUIA PARA LLEVAR A CABO EL MEJORAMIENTO DE VIAS TERCIARIAS</t>
  </si>
  <si>
    <t>Via entrada Chiquinquira - Escuela Chiquinquira
Via El Salto- Santa Ines
Via escuela Chiquinquira escuela La Meseta
Via puente hondita-fundacion con amor por amor
Via Magdalena-san lorenzo
Vía el chilco-Escuela Bonilla o via el chilco-entrada a Bonilla
Via partidas La Culebra-Escuela La Culebra
Via Palestina
Via La Chapa-sector el pavo
Via Peñol Santuario Guamito La Helida El Carmelo</t>
  </si>
  <si>
    <t>TERMINADO 100%</t>
  </si>
  <si>
    <t>AUNAR ESFUERZOS ENTRE EL DEPARTAMENTO DE ANTIOQUIA Y EL MUNICIPIO DE CIUDAD BOLIVAR, PARA LA EJECUCIÓN DE LAS ACTIVIDADADES DE MEJORAMIENTO DE VÍAS RURALES UBICADAS EN EL MUNICIPIO ASOCIADO</t>
  </si>
  <si>
    <t>placa huella en la vía Puente Nuevo Farallón</t>
  </si>
  <si>
    <t>(Seg. 07/09/2026) Liquidación Bilateral del 19/06/2025 , obra y recursos del 100%, Quedar a paz y salvo por todo concepto en todas la obligaciones originadas en el presente convenio. Cierre de Expediente 19/08/2025</t>
  </si>
  <si>
    <t>23AS111B1156</t>
  </si>
  <si>
    <t>APOYAR AL MUNICIPIO DE SAN AMAGÁ CON EL SUMINISTRO DE MATERIALES POR PARTE DEL DEPARTAMENTO DE ANTIOQUIA PARA LLEVAR A CABO EL MEJORAMIENTO DE VÍAS TERCIARIAS UBICADAS EN EL MUNICIPIO ASOCIADO</t>
  </si>
  <si>
    <t>CAMILO C – EL MORRO (05030VT263)
 CEDRO PARTE BAJA (05030VT253)</t>
  </si>
  <si>
    <t>"17/01/2024: Se realizó acta de terminación con ejecución en ceros (0) - (Seg. 07/09/2026) Liquidación Bilateral del  12/06/2026, obra y recursos 0.0%,  Quedan a paz y salvo. Cierre de Expediente del 16/02/2026"</t>
  </si>
  <si>
    <t>23AS111B839</t>
  </si>
  <si>
    <t>APOYAR AL MUNICIPIO DE ANDES, CON EL SUMINISTRO DE MATERIALES POR PARTE DEL DEPARTAMENTO DE ANTIOQUIA PARA LLEVAR A CABO EL MEJORAMIENTO
DE VÍAS TERCIARIAS UBICADAS EN EL MUNICIPIO ASOCIADO</t>
  </si>
  <si>
    <t>ANDES-SANTA RITA-SANTA INES,RISALDA, ANDES-SAN MIGUEL, ALTO CAÑAVERAL,ANDES-QUEBRADA ARRIBA</t>
  </si>
  <si>
    <t>14/05/2025 avance de obra 73%, estan terminando contra liquidación
24/04/2026 mismo estado</t>
  </si>
  <si>
    <t>23AS111B1203</t>
  </si>
  <si>
    <t>APOYAR AL MUNICIPIO DE ANORÍ, CON EL SUMINISTRO DE MATERIALES POR PARTE DEL DEPARTAMENTO DE ANTIOQUIA PARA LLEVAR A CABO EL MEJORAMIENTO DE VÍAS TERCIARIAS UBICADAS EN EL MUNICIPIO ASOCIADO.</t>
  </si>
  <si>
    <t>LA PLANCHA- SANTIAGO (05040VT08)
 DOS BOCAS - LA AGUADA (05040VT02</t>
  </si>
  <si>
    <t>Finalizó el 31/03/2024.No se ejecutó, no hubo autorización de materiales. Pendiente liquidación. (Seg. 25/08/2026) En mesa de ayuda tiene Acta de Terminación e informe de seguimiento #3 del  31/03/2024, obra y recursos del 0.00%</t>
  </si>
  <si>
    <t>23AS111B772</t>
  </si>
  <si>
    <t>APOYAR AL MUNICIPIO DE ANORÍ, CON EL SUMINISTRO DE MATERIALES PORPARTE DEL DEPARTAMENTO DE ANTIOQUIA PARA LLEVAR A CABO EL MEJORAMIENTO DE VÍAS TERCIARIAS
UBICADAS EN EL MUNICIPIO ASOCIADO</t>
  </si>
  <si>
    <t>MESETA - CHAGUALO ABAJO</t>
  </si>
  <si>
    <r>
      <rPr>
        <rFont val="Calibri"/>
        <color theme="1"/>
        <sz val="11.0"/>
      </rPr>
      <t xml:space="preserve">Finalizó el 18/07/2024. Se entregó todo el material, la obra se encuentra en 100% de ejecución. (29/01/2025) Pendiente liquidación y ultima visita de verificación. (Seg. 25/08/2026) En Mesa de Ayuda cuenta con Acta de Terminación E Informe de Seguimiento # 5 del 18/07/2024,  </t>
    </r>
    <r>
      <rPr>
        <rFont val="Calibri"/>
        <color rgb="FFFF0000"/>
        <sz val="11.0"/>
      </rPr>
      <t xml:space="preserve">Obra 50%, recursos del 100% </t>
    </r>
    <r>
      <rPr>
        <rFont val="Calibri"/>
        <color theme="1"/>
        <sz val="11.0"/>
      </rPr>
      <t>. Pendiente de liquidación, se tiene hasta el 18/01/2027 para adelantar este proceso, con el fin de evitar la pérdida de competencia.</t>
    </r>
  </si>
  <si>
    <t>23AS111B892</t>
  </si>
  <si>
    <t>APOYAR AL MUNICIPIO DE BETANIA, CON EL SUMINISTRO DE MATERIALES POR PARTE DEL DEPARTAMENTO DE ANTIOQUIA PARA LLEVAR A CABO EL MEJORAMIENTO
DE VÍAS TERCIARIAS UBICADAS EN EL MUNICIPIO ASOCIADO</t>
  </si>
  <si>
    <t>LA LADERA, PALENQUE, LA LINDA,VIA PEDRAL ARRIBA, PUENTE OBANDO LA ROCHELA</t>
  </si>
  <si>
    <t>(25/08/2026) Acta de Terminación e Informe de Seguimiento # del 01/03/2024 obra del 58%, recursos del 100% (2 entrega de materiales), cuenta con requerimiento 2 de solicitud de documentos para liquidar del 21/01/2025. (Seg. 26/08/2026) El alcalde firmo 25/08/2026, está en proceso de las otras firmas liquidación bilateral, quedará a paz y salvo. (Seg. 07/09/2026) Liquidación Bilateral del 31/08/2026, obra del 100%, recursos del 99.98%, Cierre de expediente del 01/09/2026</t>
  </si>
  <si>
    <t>23AS111B1141</t>
  </si>
  <si>
    <t>APOYAR AL MUNICIPIO DE BETANIA, CON EL SUMINISTRO DE MATERIALES POR PARTE DEL DEPARTAMENTO DE ANTIOQUIA PARA LLEVAR A CABO EL MEJORAMIENTO DE VÍAS TERCIARIAS UBICADAS EN EL MUNICIPIO ASOCIADO.</t>
  </si>
  <si>
    <t>26/02/2024 CON ACTA DE TERMINACIÓN EN 0% . 24/04/2026 liquidado con acta de cierre 16/02/2026  . Seg.24/07/2026_ No  ejecutó el municipio_ asignado abogado el 23/01/2026_ Con Acta de Liquidación Bilateral del 12/02/2026 obra y recursos del 0.0%_ Qudan a paz y salvo. Acta de Cierre del 16/02/2026</t>
  </si>
  <si>
    <t>23AS111B1183</t>
  </si>
  <si>
    <t>APOYAR AL MUNICIPIO DE BURITICÁ, CON EL SUMINISTRO DE MATERIALES POR PARTE DEL DEPARTAMENTO DE ANTIOQUIA PARA LLEVAR A CABO EL MEJORAMIENTO DE VÍAS TERCIARIAS UBICADAS EN EL MUNICIPIO ASOCIADO.</t>
  </si>
  <si>
    <t>VIA EL SIENTO – EL LEON – LLANO CHIQUITO 05113VVT05, 05113VVT06
 VIA LA CORDILLERA – LA FRAGUA 05113VVT03
 VIA LA CORDILLERA – SOPETRANCITO</t>
  </si>
  <si>
    <r>
      <rPr>
        <rFont val="Calibri"/>
        <color theme="1"/>
        <sz val="11.0"/>
      </rPr>
      <t>(15/04/2024) El municipio no presentó información_ se procede a liquidar.  11/11/2025 con acta de terminación - (Seg. 05/08/2026) con Acta de Terminación del 24/09/2025 "Qu</t>
    </r>
    <r>
      <rPr>
        <rFont val="Calibri"/>
        <i/>
        <color theme="1"/>
        <sz val="11.0"/>
      </rPr>
      <t>e de acuerdo con el vencimiento del plazo, dar por teminada la ejecución - Causa de terminación "</t>
    </r>
    <r>
      <rPr>
        <rFont val="Calibri"/>
        <color theme="1"/>
        <sz val="11.0"/>
      </rPr>
      <t>Vencimiento de plazo". (Seg. 14/08/2026) Pendiente de liquidación no ejecutaron ni se entregó nada de recursos.</t>
    </r>
  </si>
  <si>
    <t>23AS111B1164</t>
  </si>
  <si>
    <t>APOYAR AL MUNICIPIO DE CAÑASGORDAS, CON EL SUMINISTRO DE MATERIALES POR PARTE DEL DEPARTAMENTO DE ANTIOQUIA PARA LLEVAR A CABO EL MEJORAMIENTO DE VÍAS TERCIARIAS UBICADAS EN EL MUNICIPIO ASOCIADO.</t>
  </si>
  <si>
    <t>La Soledad (05138VT32)
 Mediacuesta (05138VT13)
 La Union (05138VT20)
 La Aguada - Santo Domingo (Sector Buenavista) (05138VT08)
 El Retiro (05138VT23)
 Juan Gomez (05138VT16)
 Erejes - La Estrella (05138VT29)
 La Cusuti - Buenos Aires (05138VT36)
 Paso Arriba (05138VT18)
 Guamal (05138VT17)
 La Escalera (05138VT44)
 Imantago - El Canelo (05138VT45</t>
  </si>
  <si>
    <t>(15/11/2023) Se encuentra en tramite una nueva entrega de materiales - (11/12/2023): pendiente CIC por cambio de cláusulas - (12/02/2024) Se autorizó último pedido. (Seg. 05/08/2026) Tiene el primer informe de Seguimiento del 27/11/2023 (Seg. 14/08/2026) Obra 100% , Recuros 98.59% (Seg. 24/08/2026) Liquidación Unilateral del 12/08/2026 obra y recursos del 0.00%  El municipio deberá pagar $635.970.659 para compensar el aporte en especie entregado y no ejecutado, cuenta con Citación para Diligencia de Notificación Personal del 21/08/2026</t>
  </si>
  <si>
    <t>23AS111B956</t>
  </si>
  <si>
    <t>APOYAR AL MUNICIPIO DE CAREPA, CON EL SUMINISTRO DE MATERIALES POR PARTE DEL DEPARTAMENTO DE ANTIOQUIA PARA LLEVAR A CABO EL MEJORAMIENTO DE VIAS TERCIARIAS UBICADAS EN EL MUNICIPIO ASOCIADO</t>
  </si>
  <si>
    <t>LA CERRAZÓN</t>
  </si>
  <si>
    <t>"(05/03/2025) se requirió al municipio informe final para el proceso de liquidación - (15/07/2025) MISMO ESTADO -( 20/04/2026) pendiente liquidar. (Seg. 24/07/2026)_ Se tiene hasta el 29/08/2026 para liquidar. a cargo de Dalis Hincapié P. Tiene ejecución de obra del 45% -Financiera del 100% - (Seg 11/08/2026) Acta de Terminación del 13/09/2024 , solicitud al Municipio de documentos para liquidar del 09/06/2026. (Seg. 21/08/2026) Liquidación Unilateral del 21/08/2026, obra y recursos 0.0%.  El municipio deberá pagar $200.509.383 por concepto de valor no ejecutado. Cuenta con Citación de Notificación personal del 21/08/2026. Citación para dilenciamiento de notificación personal del 21/08/2026. (Seg. 26/08/2026) La supervisión se reasigno de Dalis Milena Hincapié Piedrahita, al ingeniero Juan Sebastián Vesga Medina, el 26/08/2026, radicado 2026020032594.
"</t>
  </si>
  <si>
    <t>$200.509.383</t>
  </si>
  <si>
    <t>23AS111B953</t>
  </si>
  <si>
    <t>APOYAR AL MUNICIPIO DE CHIGORODÓ, CON EL SUMINISTRO DE MATERIALES POR PARTE DEL DEPARTAMENTO DE ANTIOQUIA PARA LLEVAR A CABO EL MEJORAMIENTO DE VIAS TERCIARIAS UBICADAS EN EL MUNICIPIO ASOCIADO</t>
  </si>
  <si>
    <t>LA MAPORITA</t>
  </si>
  <si>
    <t>(12/11/2024) convenio en ejecución, municipo solo va a ejecutar hasta el 66% de obra - (20/04/2026) pendiente liquidar - (Seg. 24/07/2026) Se tiene hasta el 03/06/2027 para liquidar. Tiene informe # 9 del 31/10/2024 - Requerimiento para liquidar N.2025030081259 del 13/02/2025. (Seg. 26/08/2026) La supervisión se reasigno de Dalis Milena Hincapié Piedrahita, al ingeniero Juan Sebastián Vesga Medina, el 26/08/2026, radicado 2026020032594. Presupuesto tiene tope de $350.000.000 millones, de los cuales se ha desembolso $147.728.300, siendo el 70,4", obra del 66%</t>
  </si>
  <si>
    <t>23AS111B1191</t>
  </si>
  <si>
    <t>CORREGIMIENTO BARRANQUILLITA
 CARRERA 50 (05172VT29)
2 CALLE 52(05172X7134)
3 CALLE51 (05172VT33)
4 CALLE 50 (05172X7135)
5 CALLE 49 (05172X7736)
6 CARRERA 51 (05172VT30)
7 CARRERA 51A (05172X7728)
8 CARRERA 52 (05172VT31)</t>
  </si>
  <si>
    <t>" 24/02/2025 con requerimiento de la documentación final para poder liquidar, el municipio aun no ha dado respuesta  (20/04/2026) obra terminada 100%, (Seg. 24/07/2026)_pendiente liquidarse, el convenio pierde competencia para liquidar el 31/09/2026. Liquidación a cargo de Dalis Hincapié P. (Seg. 25/08/2026) Liquidación Bilateral del 11/08/2026, obra y recursos del 100%, el Municipio queda a paz y salvo por todo concepto en todas la obligaciones originadas en el  presente convenio.
"</t>
  </si>
  <si>
    <t>23AS111B969</t>
  </si>
  <si>
    <t>APOYAR AL MUNICIPIO DE CISNEROS, CON EL SUMINISTRO DE MATERIALES POR PARTE DEL DEPARTAMENTO DE ANTIOQUIA PARA LLEVAR A CABO EL MEJORAMIENTO DE VIAS TERCIARIAS UBICADAS EN EL MUNICIPIO ASOCIADO</t>
  </si>
  <si>
    <t>El Silencio - San Victorino,Cisneros- El Silencio,La Delgadita- EL Brasil,Sabanalarga-bellavista, sector bella fatima</t>
  </si>
  <si>
    <t xml:space="preserve">Convenio finalizó el 13/03/2024_ Cuenta con 3 entregas de materiales y la obra se encuentra en 100% de ejecución. Pendiente liquidación. (Seg. 12/08/2026) _ con Acta de Terminación e Informe Seguimiento # 3 del 13/03/2024, Ejecución Fisíca del 70% y Recursos del 100%, presupuesto $659.330.365 los mismo que fuerón entregados en especie al Municipio - Cuenta con 3 solicitudes para liquidar, la última del 28/05/2026. se proyecta Liquidación Bilateral con reintegro total en Municipio no allegó información. (Seg. 03/09/2026) Liquidación Unilateral del 03/09/2026, obra y recursos del 0.0%. El municipio deberá pagar $659.713.362 por concepto de valor no ejecutado. Cuenta con Autorización de Notificación electronica del 03/09/2026. Citación para Notificación Personal del 03/09/2026. Recursos de Reposición del 09/09/2026. </t>
  </si>
  <si>
    <t xml:space="preserve"> $659.713.362</t>
  </si>
  <si>
    <t>23AS111B1202</t>
  </si>
  <si>
    <t xml:space="preserve">Convenio finalizó el 11/05/2024. Cuenta con 3 entregas de materiales y la obra se encuentra en 100% de ejecución. Pendiente liquidación. "(Seg. 12/08/2026) _ con Acta de Terminación e Informe de Seguimiento # 3 del 11/05/2024, Ejecución Fisíca del 70% y Recursos del 100%; según el Municipio. El 10/04/2025 se les solicitó los documentos para liquidación, se tiene hasta noviembre para hacer la liquidación, no se tiene soporte por lo que ejecución es del 0% y entrega de recursos del 99.3%. </t>
  </si>
  <si>
    <t>23AS111B1179</t>
  </si>
  <si>
    <t>APOYAR AL MUNICIPIO DE COCORNÁ, CON EL SUMINISTRO DE MATERIALES POR PARTE DEL DEPARTAMENTO DE ANTIOQUIA PARA LLEVAR A CABO EL MEJORAMIENTO DE VÍAS TERCIARIAS UBICADAS EN EL MUNICIPIO ASOCIADO.</t>
  </si>
  <si>
    <t>Pailania - Morritos (05197VT23)
Autopista - El Coco (05197VT11)
Autopista - Las Cruces (05197VT50)</t>
  </si>
  <si>
    <t>Terminado 100%</t>
  </si>
  <si>
    <t>23AS111B1223</t>
  </si>
  <si>
    <t>APOYAR AL MUNICIPIO DE EL BAGRE, CON EL SUMINISTRO DE MATERIALES POR PARTE DEL DEPARTAMENTO DE ANTIOQUIA PARA LLEVAR A CABO EL MEJORAMIENTO DE VÍAS TERCIARIAS UBICADAS EN EL MUNICIPIO ASOCIADO.</t>
  </si>
  <si>
    <t>EL BAGRE- PUERTO LOPEZ  - VEREDAS: MATANZA, PIZARRITA Y NEGRITAS.</t>
  </si>
  <si>
    <t xml:space="preserve">TERMINADO 100%
25/11/2024 Convenio finalizado el 19 de mayo de 2024. Se realizaron las tres entregas establecidas en el convenio. TERMINADO 100%.
29/01/2025 Pendiente Liquidación y visita final
</t>
  </si>
  <si>
    <t>23AS111B1176</t>
  </si>
  <si>
    <t>APOYAR AL MUNICIPIO DE EL PEÑOL, CON EL SUMINISTRO DE MATERIALES POR PARTE DEL DEPARTAMENTO DE ANTIOQUIA PARA LLEVAR A CABO EL MEJORAMIENTO DE VÍAS TERCIARIAS UBICADAS EN EL MUNICIPIO ASOCIADO.</t>
  </si>
  <si>
    <t>Via San Vicente El Peñol-Santa Ana
- Via entrada Chiquinquira-escuela Chiquinquira</t>
  </si>
  <si>
    <t>23AS111B1159</t>
  </si>
  <si>
    <t>APOYAR AL MUNICIPIO DE FRONTINO CON EL SUMINISTRO DE MATERIALES POR PARTE DEL DEPARTAMENTO DE ANTIOQUIA PARA LLEVAR A CABO EL MEJORAMIENTO DE VÍAS TERCIARIAS UBICADAS EN EL MUNICIPIO ASOCIADO</t>
  </si>
  <si>
    <t>El Filo De Pontón (05284VT21)
 La Congolona - Chuscal (05284VT164)
 Nutibara- Curadientes (05284VT82</t>
  </si>
  <si>
    <t>"(28/04/2026) en proceso de liquidación con EDU _ (Seg 05/08/2026) _Pendiente Acta de Terminación  (Seg. 14/08/2026) ""Obra 33% y Recursos del 32.87%,  Pendiente documentos del Municipio, visita y liquidar (Seg. 18/09/2026) Liquidación Unilateral del 14/09/2026 obra y recursos 0.0%.  Recursos entregados en material de $42.660.535  los mismos que debe ser reintegrados por el municipio 
"</t>
  </si>
  <si>
    <t>23AS111B1158</t>
  </si>
  <si>
    <t>APOYAR AL MUNICIPIO DE GIRALDO CON EL SUMINISTRO DE MATERIALES POR PARTE DEL DEPARTAMENTO DE ANTIOQUIA PARA LLEVAR A CABO EL MEJORAMIENTO DE VÍAS TERCIARIAS UBICADAS EN EL MUNICIPIO ASOCIADO</t>
  </si>
  <si>
    <t>Vía Limo - Filo Del Medio (05306BT02)
 Giraldo-Puna-El Limo-Alto Del Toyo (05306BT08</t>
  </si>
  <si>
    <t xml:space="preserve">(15/11/2023) se presenta dificultad por parte del proveedor de suminstrar materiales por novedades en la vía (caida de puente sobre el Río Tonusco). (11/12/2023) SUSPENDIDO POR 1 MES HASTA EL 10/01/2024 - (26/02/2024) POR LIQUIDAR AL 66% - Acta de terminación - (Seg.05/08/2026) con Acta de Terminación ya firmada del 24/09/2025 (Seg. 14/08/2026) Liquidación Unilateral del 11/08/2026, obra y recursos del 0.00%, el municipio deberá pagar $192.927.751 por concepto de compensación del aporte en especie entregado .  </t>
  </si>
  <si>
    <t>23AS111B864</t>
  </si>
  <si>
    <t>APOYAR AL MUNICIPIO DE GRANADA, CON EL SUMINISTRO DE MATERIALES POR PARTE DEL DEPARTAMENTO DE ANTIOQUIA PARA LLEVAR A CABO EL MEJORAMIENTO DE VÍAS TERCIARIAS UBICADAS EN EL MUNICIPIO ASOCIADO</t>
  </si>
  <si>
    <t>MINITAS- LA MILAGROSA,EMPALME- QUEBRADONA ABAJO, ANILLO VIAL SAN ESTEBAN- GALILEAS- SANTA ANA tramo 1 y tramo 2, ramal minitas- san matias</t>
  </si>
  <si>
    <t xml:space="preserve">(08/07/2024)  con acta de terminación firmada  (Seg. 14/08/2025) Obra y Recursos 100 % Liquidación Bilateral   del  08/05/2026 </t>
  </si>
  <si>
    <t xml:space="preserve">SANDRA ELENA MONTOYA ROJAS </t>
  </si>
  <si>
    <t>23AS111B1163</t>
  </si>
  <si>
    <t>APOYAR AL MUNICIPIO DE JERICO, CON EL SUMINISTRO DE MATERIALES POR PARTE DEL DEPARTAMENTO DE ANTIOQUIA PARA LLEVAR A CABO EL MEJORAMIENTO DE VÍAS TERCIARIAS UBICADAS EN EL MUNICIPIO ASOCIADO.</t>
  </si>
  <si>
    <t xml:space="preserve">Puente Iglesias (Ruta 25B) - La Ye – Jericó </t>
  </si>
  <si>
    <t>(06/05/2024) Prórroga por 3 meses hasta el 02/08/2024  (08/07/2024) se autoriza hoy tercera y ultima entrega de materiales (31/07/2024) pendiente visita  a campo para verificación de obra y poder liquidar. (5/02/2025) Con acta de terminación en mesa de ayuda, ejecución obra 75%, ejecución financiera 100% - (Seg 22/07/2026) La documentacion se envío a D. Juridica el 11/06/2026 en espera de respectiva liquidacion para revisarla. (Seg. 25/08/2027) Pendiente de liquidación, se tiene hasta el 02/02/2027 para adelantar este proceso, con el fin de evitar la pérdida de competencia. (Se. 28/8/2026)  La supervisión  fue trasladada de la profesional Margarita Rosa Lopera Duque a la profesional Sandra Elena Montoya Rojas, mediante delegación No. 2026020031425 del 19 de agosto de 2026. La supervisión  fue trasladada de la profesional Margarita Rosa Lopera Duque a la profesional Sandra Elena Montoya Rojas, mediante delegación No. 2026020031425 del 19 de agosto de 2026.</t>
  </si>
  <si>
    <t>23AS111B1181</t>
  </si>
  <si>
    <t>APOYAR AL MUNICIPIO DE LA UNIÓN, CON EL SUMINISTRO DE MATERIALES POR PARTE DEL DEPARTAMENTO DE ANTIOQUIA PARA LLEVAR A CABO EL MEJORAMIENTO DE VÍAS TERCIARIAS UBICADAS EN EL MUNICIPIO ASOCIADO</t>
  </si>
  <si>
    <t>VIA CRUZ ROJA - CHALARCA - MESOPOTAMIA (sector Minitas -barro blanco,VIA LA UNIÓN - EL GUARANGO- LAS COLMENAS (Sector El Pencal),VIA LA UNIÓN - EL GUARANGO- LAS COLMENAS (Sector Salida Cabecera )</t>
  </si>
  <si>
    <t>23AS111B1175</t>
  </si>
  <si>
    <t>LIBORINA</t>
  </si>
  <si>
    <t>APOYAR AL MUNICIPIO DE EL LIBORINA, CON EL SUMINISTRO DE MATERIALES POR PARTE DEL DEPARTAMENTO DE ANTIOQUIA PARA LLEVAR A CABO EL MEJORAMIENTO DE VÍAS TERCIARIAS UBICADAS EN EL MUNICIPIO ASOCIADO.</t>
  </si>
  <si>
    <t>Sobresabana</t>
  </si>
  <si>
    <t>30/08/2023 Se hace el pedido 2 (final) con 2 pedidos se pudo desarrollar la totalidad del convenio - (09/11/2023) se encuentra en proceso de liquidación. (21/02/2025) con acta de terminación en mesa de ayuda obra 100% - financiero 100%, pendiente liquidar_(Seg- 03/08/2026) La Liquidación será Bilateral, esta en revisión de la D. Asuntos Legales. en proceso de firmar. (Seg. 24/08/2026) Liquidación Bilateral del 10/08/2026, Obra del 100% recursos del 97.65%. El Municipio queda a paz y salvo por todo concepto en todas la obligaciones originadas en el  presente convenio. Pendiente Cierre de Expediente.</t>
  </si>
  <si>
    <t>23AS111B1220</t>
  </si>
  <si>
    <t>APOYAR AL MUNICIPIO DE MACEO, CON EL SUMINISTRO DE MATERIALES POR PARTE DEL DEPARTAMENTO DE ANTIOQUIA PARA LLEVAR A CABO EL MEJORAMIENTO DE VÍAS TERCIARIAS UBICADAS EN EL MUNICIPIO ASOCIADO.</t>
  </si>
  <si>
    <t xml:space="preserve">VIA LASUSANA05425VT14
• MACEO - TRES PIDRAS - LA LONDRA - EL INGENIO 05425\/T23
• SAN JUDAS - OLIVARES 05425Vr22
« GUARDASOL 05425VT25
« SAN IGNACIO 05425VT16
• SAN CIPRIANO - SAN LUCAS - SAN LUIS 05425VT31
o LA FLORESTA - EL RAYO 05425Vr02
. PARTIDAS LA PUREZA - LA PUREZA - LA FLORESTA </t>
  </si>
  <si>
    <t>25/11/2024 Municipio solicita terminación del convenio, Cuenta con una sola entrega de materielES, por lo cual se encuentra pendiente de liquidación y de revisión del alcance final que el muncipio deberá garantizar en el 33% del alcance pactado inicialmente. "(Seg. 12/08/2026) _ con Acta de Terminación e Informe Seguimiento # 1 del 03/11/2023, Ejecución Fisíca del 25% y Recursos del 33%, _ Liquidación Unilateral del 09/07/2026, Ejecución Fisíca y Recursos del 0,0% Presupuesto Inicial de $477.354.280 de los cuales se desembolso $155.441.370 los mismos que deberán ser pagados por el Municipio. Cuenta con Citación para Diligencia de Notificación Personal del 09/07/2026, Notificaicón por Aviso del 21/07/2026 y Recurso de Reposición del 27/03/2026 Pendiente respuesta de la supervisora y la Dirección Jurídica.</t>
  </si>
  <si>
    <t>23AS111B1167</t>
  </si>
  <si>
    <t xml:space="preserve">Uvital -- El Palmar 
Carmelo - Balvaneras 
Puente Linda - Puerto Venus 
Ramal - El Roble 
Nariño - El Llano - Pedrera </t>
  </si>
  <si>
    <t>23AS111B1004</t>
  </si>
  <si>
    <t>LA YAYA-INDIO VIJAO-  IGUANITA VIJAO, VILLA ISABEL " INDIO VIJAO", EL PORVENIR IGUANA</t>
  </si>
  <si>
    <t>(15/11/2023) Se autorizó la primera entrega del material (11/12/2023) se tramitó prorroga por 3 meses hasta el 24/03/2023 (13/02/2024) en tramite de suspensión (22/03/2024) Municipio no tramitó suspensión ni prórroga, se va liquidar. (Seg. 24/07/2026) _ El convenio pierde competencia para liquidar el 24/09/2026. Liquidación a cargo de Dalis Hincapié P. No se realizó reasignación de supervisión, teniendo en cuenta que la servidora manifestó que, de acuerdo con el compromiso adquirido con la Dirección, ella misma finalizaría el proceso de liquidación de dicho convenio. Consultado el estado de los procesos con la servidora, esta informa que actualmente se encuentra recopilando y solicitando la información necesaria para determinar el avance y estado del respectivo proceso de liquidación. Se tiene un tope de $350.000.000 presupuesto de los cuales se ha desembolsado $127.858.487</t>
  </si>
  <si>
    <t>23AS111B1214</t>
  </si>
  <si>
    <t>APOYAR AL MUNICIPIO DE OLAYA, CON EL SUMINISTRO DE MATERIALES POR PARTE DEL DEPARTAMENTO DE ANTIOQUIA PARA LLEVAR A CABO EL MEJORAMIENTO DE VÍAS TERCIARIAS UBICADAS EN EL MUNICIPIO ASOCIADO.</t>
  </si>
  <si>
    <t xml:space="preserve">Llandas-Travesía (05501VTSI)
9 Badajoz - El Palmar (05501VT22)
e Sucre - El Guayabo (05501VT68)
a Olaya - Quebrada Arriba </t>
  </si>
  <si>
    <t>(15/11/2023) Se hace el tercer pedido de materiales.  termina en el  tiempo - TERMINADO 100% (Seg. 03/08/2026) _ Se entregó los materiales al 100%, la ejecución física fué del 100% y Financiera del 98.40%, por la fluctuación del valor de los materiales. Acta de Liquidación bilateral del 16/06/2026, Quedar a paz y salvo por todo concepto en todas las obligacione originadas en el presente convenio. Pendiente Cierre de Expediente.</t>
  </si>
  <si>
    <t>23AS111B933</t>
  </si>
  <si>
    <t>APOYAR AL MUNICIPIO DE RIONEGRO , CON EL SUMINISTRO DE MATERIALES POR PARTE DEL DEPARTAMENTO DE ANTIOQUIA PARA LLEVAR A CABO EL MEJORAMIENTO
DE VÍAS TERCIARIAS UBICADAS EN EL MUNICIPIO ASOCIADO</t>
  </si>
  <si>
    <t>el manzano- tanque, callejón los marranos, vereda la laja- manpuesto, caserio aeropuerto, ramal la guadalupana, callejon don luis, la quiebra antipeaje, acceso paradero glorieta - aeropuerto - mall Ecoestación EPM, via abreito, callejón colegio baltazar salazar sede el capiro, callejón los arbelaez, los peñoles- santa barbara, vereda galicia- santa barbara,ramal los valencia, parador los pinos - el ocaso, ramal la plancha, callejon salvador rendón, ramal parroquia padre emilio, ramal la porquera</t>
  </si>
  <si>
    <t>08/07/2024 con acta de terminación firmada-  (Seg. 14/08/2025) Liquidación Bilateral del 07/05/2026,  Física y Recursos del 84.94%,  EL Municipio deberá pagar $25.216.996 por valor de materiales no ejecutados. El mpio, entrega informe final de ejecución de 1.444 metros lineales que representa el 84.94% respecto a los 1.7 Km priorizados, no obstante los materiales recibidos fue de $437.920.171 representan el 90.13% .</t>
  </si>
  <si>
    <t>23AS111B1145</t>
  </si>
  <si>
    <t>SABANALARGA</t>
  </si>
  <si>
    <t>APOYAR AL MUNICIPIO DE SABANALARGA CON EL SUMINISTRO DE MATERIALES POR PARTE DEL DEPARTAMENTO DE ANTIOQUIA PARA LLEVAR A CABO EL MEJORAMIENTO DE VÍAS TERCIARIAS UBICADAS EN EL MUNICIPIO ASOCIADO</t>
  </si>
  <si>
    <t>El Divino Niño – Botijas (05628VT08)
 El Puente - San Pedro (05628VT14)
Lo cual representa quinientos metros (0.500) KM</t>
  </si>
  <si>
    <t>(11/12/2023) Ya entregadas las 3 entregas de materiales - terminado al 66% por liquidar - 11/11/2025 Acta de terminación en mesa de ayuda - (Seg. 05/08/2026) cuenta con el Acta de Terminación firmada solo por el supervisor del 24/09/2025, causa de terminación " Vencimiento del plazo". Cuenta con el segundo informe de seguimiento del 11/05/2026 _ Liquidación Bilateral del 11/06/2026, obra 100%, recursos 98.36%, quedar a paz y salvo por todo concepto en todas las obligacione originadas en el presente convenio, pendiente cierre del expediente.</t>
  </si>
  <si>
    <t>23AS111B1143</t>
  </si>
  <si>
    <t>APOYAR AL MUNICIPIO DE SAN ANDRÉS DE CUERQUIA, CON EL SUMINISTRO DE MATERIALES POR PARTE DEL DEPARTAMENTO DE ANTIOQUIA PARA LLEVAR A CABO EL MEJORAMIENTO DE VÍAS TERCIARIAS UBICADAS EN EL MUNICIPIO ASOCIADO</t>
  </si>
  <si>
    <t xml:space="preserve"> Loma del Indio 05647VT08</t>
  </si>
  <si>
    <t>AUNAR ESFUERZO ENTRE EL DEPARTAMENTO DE ANTIOQUÍA Y EL MUNICIPIO DE BURITICÁ, PARA LA EJECUCIÓN DEL MEJORAMIENTO DE VÍAS   RURALES UBICADAS EN EL MUNICIPIO
ASOCIADO</t>
  </si>
  <si>
    <t>BURITICA</t>
  </si>
  <si>
    <t>(10/03/2025) están terminando contra liquidación 80% avance de obra. (12/06/2025) municipio no envía información ni registro fotográfico que de cuenta del cumplimiento de la ejecución. (28/04/2026) en proceso de liquidación con EDU- (Seg. 05/08/2026) Obra y recursos del 100% pendiente documentos del municipio, visita y liquidar</t>
  </si>
  <si>
    <t>vía Campamento- El
Bosque Campamento, Antioquia.</t>
  </si>
  <si>
    <t>AUNAR ESFUERZOS ENTRE EL DEPARTAMENTO DE ANTIOQUIA Y EL MUNICIPIO DE DONMATÍAS, PARA LA EJECUCIÓN DEL MEJORAMIENTO DE LA VÍA RIO GRANDE – BELLAVISTA (05237VT073) UBICADA EN EL MUNICIPIO DE DONMATÍAS, DEPARTAMENTO DE ANTIOQUIAASOCIADO</t>
  </si>
  <si>
    <t>RIO GRANDE – BELLAVISTA</t>
  </si>
  <si>
    <t>"TERMINADO 100% (25/11/2024) Convenio finalizado el 19 de mayo de 2024. Se realizaron las tres entregas establecidas en el convenio. TERMINADO 100%. (29/01/2025) Pendiente Liquidación y visita final. (sEG. 25/08/2026) Liquidación Bilateral del 19/08/2026, obra del 100%, recursos del 99.8%, el Municipio queda a paz y salvo por todo concepto en todas la obligaciones originadas en el  presente convenio. ​ (Seg. 26/8/2026) el supervisor informa que  aún le hace falta la última autorización de uso de recursos. El municipio no ha subsanado, desde la semana pasada me he reunido con ellos para que subsanen y se pueda autorizar el último uso de recursos, y ya después de este proceso, proceder a liquidarlo.
"</t>
  </si>
  <si>
    <t>AUNAR ESFUERZOS ENTRE EL DEPARTAMENTO DE ANTIOQUIA Y EL MUNICIPIO DE SALGAR, PARA LA EJECUCIÓN DEL MEJORAMIENTO DE VÍAS RURALES UBICADAS EN EL MUNICIPIO ASOCIADO</t>
  </si>
  <si>
    <t>la margarita</t>
  </si>
  <si>
    <t xml:space="preserve">(10/03/2025) obra terminada , pendiente de reparaciones para proceder a pago final y liquidar. (SEg. 25/08/2026) En Mesa de Ayuda cuenta con Acta de Terminación E Informe de Seguimiento #  8 del 2/08/2024 Obra 100%, recursos del 100% (IDEA) 42%, autorización de uso de recursos. Pendiente de liquidación, se tiene hasta el 02/02/2027 para adelantar este proceso, con el fin de evitar la pérdida de competencia. </t>
  </si>
  <si>
    <t>23AS111B797</t>
  </si>
  <si>
    <t>VIA VEREDA TRAVESIAS</t>
  </si>
  <si>
    <t>23AS111B1205</t>
  </si>
  <si>
    <t>APOYAR AL MUNICIPIO DE SAN CARLOS, CON EL SUMINISTRO DE MATERIALES POR PARTE DEL DEPARTAMENTO DE ANTIOQUIA PARA LLEVAR A CABO EL MEJORAMIENTO DE VÍAS TERCIARIAS UBICADAS EN EL MUNICIPIO ASOCIADO.</t>
  </si>
  <si>
    <t>CAÑAVERAL - LA FLORIDAD,PUERTO GARZA SECTOR MUROS,LLANADAS,ENTRADA A SANTA INES</t>
  </si>
  <si>
    <t>23AS111B1209</t>
  </si>
  <si>
    <t>APOYAR AL MUNICIPIO DE SAN FRANCISCO, CON EL SUMINISTRO DE MATERIALES POR PARTE DEL DEPARTAMENTO DE ANTIOQUIA PARA LLEVAR A CABO EL MEJORAMIENTO DE VÍAS TERCIARIAS UBICADAS EN EL MUNICIPIO ASOCIADO.</t>
  </si>
  <si>
    <t>Zona urbana - Vereda Cañada Honda
La esperanza (05652VT21)
La Ventana (05652VT24)
Jardin Matecana (05652V/T09)
Aguadas (05652VT19)</t>
  </si>
  <si>
    <t xml:space="preserve">07/03/2025 terminado 100% pendiente por liquidar  (Seg. 14/08/2026) Liquidación Bilateral del 06/07/2026 , Obra 100%, Recursos 99.98%. A paz y salvo el Municipio.
</t>
  </si>
  <si>
    <t>23AS111B1182</t>
  </si>
  <si>
    <t>APOYAR AL MUNICIPIO DE SAN LUIS , CON EL SUMINISTRO DE MATERIALES POR PARTE DEL DEPARTAMENTO DE ANTIOQUIA PARA LLEVAR A CABO EL MEJORAMIENTO DE VÍAS TERCIARIAS UBICADAS EN EL MUNICIPIO ASOCIADO.</t>
  </si>
  <si>
    <t xml:space="preserve">VIA LA SIERRA- VEREDA SOPETRAN
</t>
  </si>
  <si>
    <t>07/03/2025 terminado 100% pendiente por liquidar (Seg. 14/08/2026) Obra 100 %, Recursos 100 %, no tiene desembolsos pendiente está, para liquidación.</t>
  </si>
  <si>
    <t>23AS111B809</t>
  </si>
  <si>
    <t>APOYAR AL MUNICIPIO DE SAN RAFAEL, CON EL SUMINISTRO DE MATERIALES POR PARTE DEL DEPARTAMENTO DE ANTIOQUIA PARA LLEVAR A CABO EL MEJORAMIENTO
DE VÍAS TERCIARIAS UBICADAS EN EL MUNICIPIO ASOCIADO</t>
  </si>
  <si>
    <t>Arena-la rapida, bizcocho, cirpes,la colectora-los centros- la pradera, cuervos- la piscina</t>
  </si>
  <si>
    <t>Se solicito todo los materiales 15-11-2023 - (12/12/2023) CON ACTA DE TERMINACIÓN EN PROCESO (15/03/2024) pendiente visita de campo TERMINADO 100% - (Seg.24/07/2027) Liquidado Bilateralmente el 23/02/2026 Obra y recursos del 100%, Acta de Cierre de Expediente del 31/07/2026</t>
  </si>
  <si>
    <t>23AS111B1152</t>
  </si>
  <si>
    <t>APOYAR AL MUNICIPIO DE SAN RAFAEL CON EL SUMINISTRO DE MATERIALES POR PARTE DEL DEPARTAMENTO DE ANTIOQUIA PARA LLEVAR A CABO EL MEJORAMIENTO DE VÍAS TERCIARIAS UBICADAS EN EL MUNICIPIO ASOCIADO</t>
  </si>
  <si>
    <t>Alto de la María - San Julian (05667VT08)
Autopista (San Agustín) - Piedras Arriba (05667VT06)
La Cuchilla - El Silencio (05667VT33)
La mesa (05667VT42)</t>
  </si>
  <si>
    <t>23AS111B1189</t>
  </si>
  <si>
    <t>APOYAR AL MUNICIPIO DE SAN VICENTE FERRER, CON EL SUMINISTRO DE MATERIALES POR PARTE DEL DEPARTAMENTO DE ANTIOQUIA PARA LLEVAR A CABO EL MEJORAMIENTO DE VÍAS TERCIARIAS UBICADAS EN EL MUNICIPIO ASOCIADO.</t>
  </si>
  <si>
    <t xml:space="preserve">Vía Santa Ana - La Trinidad 
2 Anillo La Magdalena - Montegrande - San José - Cantor - El Calvario-Guadrú 
3 El Socorro - Villa Verde Hasta Santa Rita 
4 Escuela Cantor - San Ignacio hasta Cruces Empalme vía Ovejas 
5 Vía Las Hojas - La Compañía Abajo </t>
  </si>
  <si>
    <t>(15/03/2024) PENDIENTE VISITA A CAMPO- TERMINADO 100%-  (Seg. 24/07/2026) _ liquidación Bilateral del 27/03/2026, obra y recursos del 100% . (24/08/2026) Acta de cierre de Expediente el 31/07/2026</t>
  </si>
  <si>
    <t>23AS111B811</t>
  </si>
  <si>
    <t>APOYAR AL MUNICIPIO DE SAN VICENTE FERRER, CON EL SUMINISTRO DE MATERIALES POR
PARTE DEL DEPARTAMENTO DE ANTIOQUIA PARA LLEVAR A CABO EL MEJORAMIENTO DE VÍAS TERCIARIAS
UBICADAS EN EL MUNICIPIO ASOCIADO</t>
  </si>
  <si>
    <t>via las hojas- la compañía
san antonio - viejo farol hasta santa rita, la magdalena a la finca del señor efren cardona, escuela piedra gorda, el canelo, via ovejas guamito por la capilla, corrientes circumbalar (sector el colmillo),via santa isabel los garcia, via piedra gorda (sector la quiebra), magdalena- montegrande- san jose - cantor- calvario-guacirú ( sector san josé), escuela cantor san ignacio hasta cruces empalme via ovejas, la magdalena - san andres hasta el carvario, la travesía- el calvario ( sector escuela santa rosa), san vicente- escuela ovejas ( la Enea secor el muñeton), LA porquera sector la escuela, chaparral- san antonio sector el Yolombo, compañia abajo el portero ( sector el yolombo), via san antonio las hojas, via escuela el perpetuo socorro, la magdalena - el cabuyo-hasta el canelo- escuela</t>
  </si>
  <si>
    <t>23AS111B1075</t>
  </si>
  <si>
    <t>APOYAR AL MUNICIPIO DE SANTA FE DE ANTIOQUIA, CON EL SUMINISTRO DE
MATERIALES POR PARTE DEL DEPARTAMENTO DE ANTIOQUIA PARA LLEVAR A CABO EL
MEJORAMIENTO DE VÍAS TERCIARIAS UBICADAS EN EL MUNICIPIO ASOCIADO</t>
  </si>
  <si>
    <t>Via Ramal Vereda San Garlos-Mañanas (Entrada San Carlos)
Via Ramal Vereda San Caños-Mañanas (San Carlos Sector El Morro)
Via Ramal Vereda San Carlos - Marianas (Entrada Marianas)
Via Ramal Fatima
Vía Ramal la Cordillera - Laureles
Via Ramal la Cordillera - Laureles (Sector La Escuela Pescado)
Via Ramal Perú- Las Azules
Vía Santa Fe De Antioquia-Obregón-Pedregal-La Tolda - Sabanas
(RANCHO BLANCO-PEDREGAL LA LOMA DE LA VIRGEN)
Vía Santa Fe De Antioquia-Obregón-Pedregal-La Tolda - Sabanas</t>
  </si>
  <si>
    <t>(12/09/2024) Se ejecutó solo el 33% - (Seg. 03/08/2026) - Ejecución Física 9.77 %. Financiera 9.74% _ Acta de Liquidación Bilateral del 09/01/2026 - Se hace una diferencia en lo reportado del 33%, que era lo que estipulabá en la entrega inicial, sin embargo,  con relación a lo realmente ejecutadó y entregado que corresponde al 9.77%,pasó del 33 % al 9.77% Con una diferencia de 23.3% - Quedar a paz y salvo por todo concepto en todas las obligacione originadas en el presente convenio. Pendiente Cierre de Expediente.</t>
  </si>
  <si>
    <t>23AS111B1197</t>
  </si>
  <si>
    <t>APOYAR AL MUNICIPIO DE SANTO DOMINGO, CON EL SUMINISTRO DE MATERIALES POR PARTE DEL DEPARTAMENTO DE ANTIOQUIA PARA LLEVAR A CABO EL MEJORAMIENTO DE VÍAS TERCIARIAS UBICADAS EN EL MUNICIPIO ASOCIADO.</t>
  </si>
  <si>
    <t>PIEDRA GORDA 05690VT04
 MONTEBELLO 05690VT27
 VAINILLAL- PACHO HONDO 05690VT02
 QUEBRADONA 05690VT11
 EL RAYO 05690VT10
 LA MARIA 05690VT30
 PLAYAS – MORO 05690VT12
 EL ANIME – PLAYAS DEL NARE 05690VT15
 EL BALSAL – GUADUALEJO 05690VT08
 PIEDRAS BLANCAS 05690VT21
 CANTAYUS ALTO 05690VT17
 SAN FRANCISCO 05690VT29
 SAN JAVIER 05690VT26</t>
  </si>
  <si>
    <t>(12/06/2025) pendiente visita a campo y liquidar, municipio no ha enviado información final. (24/04/2026) según informe enviado por el municipio la obra del 100%, pendiente vista a campo para validar la obra (Seg. 12/08/2026) _Acta de Terminación e Informe Seguimiento #2 del 31/05/2024 , Presupuesto $645.074.706 los cuales se entregarón en su totalidad, % Física del 60 % y Recursos del 100%, se le solicitó al Mpio., los documentos para liquidación desde el 24/06/2025. (Seg.25/08/2026) Se tiene hasta el 01/12/2026 para realizar la liquidación."</t>
  </si>
  <si>
    <t>23AS111B848</t>
  </si>
  <si>
    <t>APOYAR AL MUNICIPIO DE SONSÓN, CON EL SUMINISTRO DE MATERIALES POR PARTE DEL DEPARTAMENTO DE ANTIOQUIA PARA LLEVAR A CABO EL MEJORAMIENTO
DE VÍAS TERCIARIAS UBICADAS EN EL MUNICIPIO ASOCIADO</t>
  </si>
  <si>
    <t>VIA TASAJO- NORI, VIA ALTO DE SABANAS</t>
  </si>
  <si>
    <t>23AS111B865</t>
  </si>
  <si>
    <t>APOYAR AL MUNICIPIO DE SOPETRÁN, CON EL SUMINISTRO DE MATERIALES POR PARTE DEL DEPARTAMENTO DE ANTIOQUIA PARA LLEVAR A CABO EL MEJORAMIENTO
DE VÍAS TERCIARIAS UBICADAS EN EL MUNICIPIO ASOCIADO</t>
  </si>
  <si>
    <t>(15/11/2023) Se solicita el último pedido de materiales. pendiente visita del supervisor para validar estado final- TERMINADO 100% - (Seg. 03/08/2026) _ Se entregó los materiales al 100%, la ejecución física fué del 100% y Financiera del 99.55%, por la fluctuación del valor de los materiales. Acta de Liquidación Bilateral del 26/06/2026.Quedar a paz y salvo por todo concepto en todas las obligacione originadas en el presente convenio, Acta Cierre de Expediente del 31/07/2026.</t>
  </si>
  <si>
    <t>23AS111B1157</t>
  </si>
  <si>
    <t>LA LINDA (05792VT04)
EL LINDERO - LA LINDA (05792VT12)
LA MOTA - EL CEDRON (05792VT06)
LOS PELAES - EL CEDRON (05792VT05)</t>
  </si>
  <si>
    <t>TERMINADO 100%
Por liquidar . Seg. 22/07/2026 - Liquidado Bilateramente con acta de cierre de expepiente.</t>
  </si>
  <si>
    <t>23AS111B1160</t>
  </si>
  <si>
    <t>URAMITA</t>
  </si>
  <si>
    <t>APOYAR AL MUNICIPIO DE URAMITA, CON EL SUMINISTRO DE MATERIALES POR PARTE DEL DEPARTAMENTO DE ANTIOQUIA PARA LLEVAR A CABO EL MEJORAMIENTO DE VÍAS TERCIARIAS UBICADAS EN EL MUNICIPIO ASOCIADO</t>
  </si>
  <si>
    <t>VIA EL COROZO – PARAMILLO - 05842VT11
2 VIA MURRPAL - 05842VT15
3 VIA EL MADERO - 05842VT05
4 VIA EL CAUNCE – NUDILLALES - 05842VT10</t>
  </si>
  <si>
    <t>(15/11/2023) se presenta dificultad, por parte del proveedor de suministrar materiles por novedades en la via (caida de puente sobre el Rio Tonusco),  terminado al 33% por liquidar. (11/11/2025) Acta de terminación en mesa de ayuda  (Seg. 14/08/2026) se tiene que obra al igual que recursos es del 33% sin embargo, no han allegado documentación, por lo tanto se hará liquidación con% de obra del 0,0%. (Seg. 24/08/2026) Liquidación Unilateral del 18/06/2026, obra y recursos del 0.00%, deberá pagar $53.990.495 por concepto de valor no ejecutado, No se declara a paz y salvo entre las partes.</t>
  </si>
  <si>
    <t>SALDO NO EJECUTADO</t>
  </si>
  <si>
    <t>23AS111B1166</t>
  </si>
  <si>
    <t>APOYAR AL MUNICIPIO DE URRAO, CON EL SUMINISTRO DE MATERIALES POR PARTE DEL DEPARTAMENTO DE ANTIOQUIA PARA LLEVAR A CABO EL MEJORAMIENTO DE VÍAS TERCIARIAS UBICADAS EN EL MUNICIPIO ASOCIADO.</t>
  </si>
  <si>
    <t>AVON LA PRIMERA - LA CONGOJA (05847VT07)
• EL SIRENO - LA QUIEBRA (05847VT09)
• LA HONDA - SALADO ARRIBA (05847VT260)
• LA LOMA - OROBUGO ARRIBA (05847VT263)
• SAN JOSE - EL SALVADOR (05847VT101)
PAVÓN - EL HATO (05847VT81)
LA ENCARNACION - EL MARAVILLO (05847VT10)
LA HONDITA - CHAQUE (05847VT257)
• SANTA CATALINA - LA GULUNGA (05847VT267)</t>
  </si>
  <si>
    <t>(11/03/2024) supervisor en campo el 12,13,14 de febrero corrobora 11% de ejecución de obra ( 23/04/2026) pendiente visita a campo el lunes 27 y 28 de abril (Seg.25/08/2026) Liquidación Unilateral del 21/08/2026, obra del 15.66% y recursos del 15.20%, el municipio de Urrao , deberá pagar $506.786.521 por concepto de valor no ejecutado.  Cuenta con Citación para Diligencia de Notificación Personal del 24/08/2026.</t>
  </si>
  <si>
    <t>$506.786.521 por concepto de valor no ejecutado</t>
  </si>
  <si>
    <t>23AS111B1142</t>
  </si>
  <si>
    <t>VALDIVIA</t>
  </si>
  <si>
    <t xml:space="preserve">    APOYAR AL MUNICIPIO DE VALDIVIA, CON EL SUMINISTRO DE MATERIALES POR
PARTE DEL DEPARTAMENTO DE ANTIOQUIA PARA LLEVAR A CABO EL MEJORAMIENTO DE
VÍAS TERCIARIAS UBICADAS EN EL MUNICIPIO ASOCIADO</t>
  </si>
  <si>
    <t>Puerto Valdivia-Monte frió (05854VT10)</t>
  </si>
  <si>
    <t>15/11/2023. EL MUNICIPIO HA EJECUTADO 560 METROS (100%) DE PLACA HUELLA. SE HA ENTREGADO EL 100% DE LOS MATERIALES. A LA ESPERA DE DOCUMENTOS SOPORTES DEL MUNICIPIO PARA LIQUIDAR EL CONVENIO.
Seg. 22/07/2026 _ Liquidado el 15/07/2026</t>
  </si>
  <si>
    <t>23AS111B818</t>
  </si>
  <si>
    <t>APOYAR AL MUNICIPIO DE YARUMAL, CON EL SUMINISTRO DE MATERIALES POR PARTE DEL DEPARTAMENTO DE ANTIOQUIA PARA LLEVAR A CABO EL MEJORAMIENTO
DE VÍAS TERCIARIAS UBICADAS EN EL MUNICIPIO ASOCIADO</t>
  </si>
  <si>
    <t>taque - la loma- la ceja, san roque - el anime,santa rita- la siria</t>
  </si>
  <si>
    <t>TERMINADO 100% :  Seg. 22/07/2026 _ Liquidado el 15/07/2026</t>
  </si>
  <si>
    <t>23AS111B1219</t>
  </si>
  <si>
    <t>APOYAR AL MUNICIPIO DE YOLOMBÓ, CON EL SUMINISTRO DE MATERIALES POR PARTE DEL DEPARTAMENTO DE ANTIOQUIA PARA LLEVAR A CABO EL MEJORAMIENTO DE VÍAS TERCIARIAS UBICADAS EN EL MUNICIPIO ASOCIADO.</t>
  </si>
  <si>
    <t>PUENTE RIO SAN LOREZO-EL CAIRO - CORREGIMIENTO LA FLORESTA (05890VT01) 
VÍA LA MARQUESA-LA CAÑAVERALA (05890VT06)</t>
  </si>
  <si>
    <t xml:space="preserve">(12/06/2025) pendiente visita a campo y liquidar, municipio no ha enviado información final -TERMINADO 100% - (Seg. 12/08/2026) _Acta de Terminación e Informe Seguimiento #2 del 17/03/2025 , Presupuesto de $322.527.036 de los cuales se entregó $322.508.454.Física 70 % y Recursos  100 %.  Se reitero la solicitud de documentos para liquidar el 27/07/2026. Ejecutado % 0 dado que intervinieron vías con código diferente (las actividades objeto del Convenio NO fueron ejecutadas según lo establecido en las normas, especificaciones técnicas y condiciones contractuales) (Seg. 19/09/2026) Liquidación Unilateral del  02/09/2026, obra y recursos del 0.0%. El municipio deberá pagar $322.508.454 por concepto de valor no ejecutado. Cuenta con Citación para Diligencia de Notificación Personal del  07/09/2026. Notificación por Aviso del 16/09/2026. </t>
  </si>
  <si>
    <t>AUNAR ESFUERZOS ENTRE EL DEPARTAMENTO DE ANTIOQUIA Y EL MUNICIPIO DE SANTA FE DE ANTIOQUIA, PARA LA EJECUCIÓN DEL MEJORAMIENTO DE VÍAS URBANAS UBICADAS EN EL MUNICIPIO ASOCIADO</t>
  </si>
  <si>
    <t>PUENTE RIO SAN LOREZO-EL CAIRO - CORREGIMIENTO LA FLORESTA (05890VT01)
 VÍA LA MARQUESA-LA CAÑAVERALA</t>
  </si>
  <si>
    <t>12/09/2024 Prorroga # 2 por 3 meses hasta el 29/12/2024
29/01/2025 pendiente visita a campo para verificar obra y liquidar</t>
  </si>
  <si>
    <t>AUNAR ESFUERZOS ENTRE EL DEPARTAMENTO DE ANTIOQUIA Y EL MUNICIPIO DE LA UNIÓN, PARA EJECUCIÓN DEL MEJORAMIENTO DE VÍAS URBANAS UBICADAS EN EL MUNICIPIO ASOCIADO</t>
  </si>
  <si>
    <t>15/03/2024 ACTA DE TERMINACIÓN FIRMADA
21/06/2024 Pendiente visita a campo
TERMINADO 100%, pendiente liquidar</t>
  </si>
  <si>
    <t>"AUNAR ESFUERZOS ENTRE EL DEPARTAMENTO DE ANTIOQUIA Y EL MUNICIPIO DE CAÑASGORDAS, PARA LA EJECUCIÓN DEL MEJORAMIENTO DE VÍAS URBANAS UBICADAS EN EL MUNICIPIO ASOCIADO"</t>
  </si>
  <si>
    <t xml:space="preserve">(6/05/2024) se vence el convenio sin terminar obra, avance del 85% _ Por liquidar _ (12/06/2025) municipio no envia información ni registro fotografico que de cuenta del cumplimiento de la ejecución - (11/07/2025) en proceso de liquidación. (Seg. 14/08/2026) "Obra 85 %, Recursos 100 %. Pendiente informe del Municipio, Visitar y Liquidar. no tiene acta de terminación en mesa de ayuda </t>
  </si>
  <si>
    <t>"AUNAR ESFUERZOS ENTRE EL DEPARTAMENTO DE ANTIOQUÍA Y EL MUNICIPIO DE CHIGORODÓ, PARA LA EJECUCIÓN DEL MEJORAMIENTO DE VÍAS URBANAS UBICADAS EN EL MUNICIPIO ASOCIADO"</t>
  </si>
  <si>
    <t>sector el tancóm en las calle 93, calle 94 y carrera 101</t>
  </si>
  <si>
    <t>(05/03/2025) A la espera de la documentación por parte del municipio para poder liquidar y verificar ejecución completa de  la obra - (21/05/2025) El municipio reporta 90% de ejecución fisica  - (20/04/2026) MISMO ESTADO -( Seg. 24/07/2026) Se tiene hasta el 08/08/2026 para liquidar . Liquidación a cargo de Dalis Hincapié P.  Se deben recursos al municipio dado que no ha reportado los documentos para liquidar que den cuenta del 100% de ejecución de la obra. (Seg. 24/08/2026) Liquidación Unilateral del 04/08/2026, obra y recursos del 0.00%, eL municipio deberá pagar $1.310.172.026 por concepto de valor no ejecutado, y deberá pagar $41.018.577 por rendimientos financieros, más los que generé hasta el momento de la cancelación de la cuenta.Cuenta con Citación para Diligencia de Notificación Personal del 05/08/2026 y Notificación por Aviso del 21/08/2026</t>
  </si>
  <si>
    <t>$1.310.172.026 por concepto de valor no ejecutado, y deberá pagar $41.018.577 por rendimientos financieros, más los que generé hasta el momento de la cancelación de la cuenta.</t>
  </si>
  <si>
    <t>AUNAR ESFUERZOS ENTRE EL DEPARTAMENTO DE ANTIOQUIA Y EL MUNICIPIO DE EL BAGRE, PARA LA EJECUCIÓN DEL MEJORAMIENTO DE VÍAS URBANAS UBICADAS EN EL MUNICIPIO ASOCIADO</t>
  </si>
  <si>
    <t>Terminado 100%, (25/11/2024) Convenio finalizó el 9/07/2024. Se realiza autorización de uso de recursos 1 FINAL. Se realiza visita técnica final, y se verifica el alcance acorde con lo convenido. terminado 100%, PENDIENTE: Liquidar . (Seg. 25/08/2026) Acta de terminación del 09/07/2024</t>
  </si>
  <si>
    <t xml:space="preserve">
AUNAR ESFUERZOS ENTRE EL DEPARTAMENTO DE ANTIOQUIA Y EL MUNICIPIO DE SANTO DOMINGO, PARA LA EJECUCIÓN DEL MEJORAMIENTO DE VÍAS URBANAS UBICADAS EN EL MUNICIPIO ASOCIADO
</t>
  </si>
  <si>
    <t xml:space="preserve">(25/11/2024) TERMINADO 100% Y RECIBIDO. - Obra 100%. -Se autoriza uso de recursos final por parte de la supervisión.-POR LIQUIDAR "(Seg. 12/08/2026) _Acta de Terminación e Informe Seguimiento #3 del 25/03/2024, Presupuesto de $1.874.566.715 del Dpto. $1.499.653.372 + Mpio $374.913.343, % Física y Recursos del 100% _ Se realizó solicitud de documentos al Municipio para liquidar el 24/07/2026, Ejecutado el 100% se está a la espera también de respuesta del IDEA de movimientos de la cuenta. (Seg. 25/08/2026) Continuan los mismos pendiente </t>
  </si>
  <si>
    <t>23AS111B1196</t>
  </si>
  <si>
    <t>APOYAR AL MUNICIPIO DE VEGACHÍ, CON EL SUMINISTRO DE MATERIALES POR PARTE DEL DEPARTAMENTO DE ANTIOQUIA PARA LLEVAR A CABO EL MEJORAMIENTO DE VÍAS TERCIARIAS UBICADAS EN EL MUNICIPIO ASOCIADO.</t>
  </si>
  <si>
    <t>VIA VEGACHÍ - LA SONADORA-BELLAVISTA 05858VT10
 VIA EL TAMBOR – CORINTO 05858VT54
 VIA EL CHURU - LOS MONOS 05858VT15
 VIA SIERRA BAJA 05858VT44
 VIA ALEJANDRIA - EL CASCAJO</t>
  </si>
  <si>
    <t>(25/11/2024) finalizado el 18/12/2023-  Cuenta con 2 entregas de materiales correspondiente al 66% del total convenio - Se realiza visita de seguimiento y se evidencia avance de obra del 70%. (Seg. 12/08/2026) _ con Acta de Terminación del 17/03/2025 -  Liquidación Bilateral del  18/12/2024, Presupuesto de $160.572.801 de los cuales se entregarón $124.951.045, aunque la ejecución Fisíca del  80% y Financiera del 78% respecto del valor del convenio. Por lo tanto, de acuerdo a las condiciones pactadas no se generán saldos a favor o en contra del Municipio.  Pendiente Acta de Cierre de Expediente.</t>
  </si>
  <si>
    <t>AUNAR ESFUERZOS ENTRE EL DEPARTAMENTO DE ANTIOQUIA Y EL MUNICIPIO DE NARIÑO, PARA LA EJECUCIÓN DEL MEJORAMIENTO DE VIAS URBANAS UBICADAS EN EL MUNICIPIO ASOCIADO</t>
  </si>
  <si>
    <t>23AS111B1003</t>
  </si>
  <si>
    <t>APOYAR AL MUNICIPIO DE VIGÍA DEL FUERTE, CON EL SUMINISTRO DE MATERIALES POR PARTE DEL DEPARTAMENTO DE ANTIOQUIA PARA LLEVAR A CABO EL MEJORAMIENTO DE VIAS TERCIARIAS UBICADAS EN EL MUNICIPIO ASOCIADO</t>
  </si>
  <si>
    <t>AUNAR ESFUERZOS ENTRE EL DEPARTAMENTO DE ANTIOQUIA Y EL MUNICIPIO DE ANDES, PARA LA EJECUCIÓN DE VÍAS RURALES UBICADAS EN EL MUNICIPIO ASOCIADO</t>
  </si>
  <si>
    <t>sector Quebrada Arriba - Es lo mismo que La Chaparrala</t>
  </si>
  <si>
    <t>22AS11B490</t>
  </si>
  <si>
    <t>APOYAR AL MUNICIPIO DE MACEO, CON EL SUMINISTRO DE MATERIALES POR PARTE DEL DEPARTAMENTO DE ANTIOQUIA PARA LLEVAR A CABO EL MEJORAMIENTO DE VIAS URBANAS</t>
  </si>
  <si>
    <t>9/10/2024 Convenio liquidado 100% ejecución de obra, 28,3% de recursos o materiales ejecutados - (Seg.14/08/2026) Con Acta de Cierre de Expediente del 13/11/2024</t>
  </si>
  <si>
    <t>AUNAR ESFUERZOS ENTRE EL DEPARTAMENTO DE ANTIOQUIA Y EL MUNICIPIO DE ANZÁ, PARA EL MEJORAMIENTO DE VÍAS TERCIARIAS UBICADAS EN EL MUNICIPIO ASOCIADO.</t>
  </si>
  <si>
    <t> pavimentación vía 05044vt22 ramal cejita - la mata municipio de Anzá Departamento de Antioquia</t>
  </si>
  <si>
    <t>29/08/2024 la obra no se recibio por parte del municipio por problemas de calidad, se liquida bilateralmente con pendientes de devolucion de recursos. 
LIQUIDADO BILATERAL</t>
  </si>
  <si>
    <t>PUERTO NARE</t>
  </si>
  <si>
    <t>AUNAR ESFUERZOS ENTRE EL DEPARTAMENTO DE ANTIOQUIA Y EL MUNICIPIO DE PUERTO NARE, PARA LA EJECUCIÓN DE LAS ACTIVIDADES DE MEJORAMIENTO DE VÍAS RURALES UBICADAS EN EL MUNICIPIO ASOCIADO.</t>
  </si>
  <si>
    <t>Corregimiento La Pesca y corregimiento La Sierra</t>
  </si>
  <si>
    <t>TERMINADO AL 80% AVANCE DE OBRA, 100% RECURSOS FINANCIERO. (Seg. 14/08/2026) Liquidación Bilateral con pendientes del 20/11/2024, Obra 100% y Recursos 95.89%. Pendiente Acta de Cierre de Expediente. Pasó a cobro coactivo.</t>
  </si>
  <si>
    <t>AUNAR ESFUERZOS ENTRE EL DEPARTAMENTO DE ANTIOQUIA Y EL MUNICIPIO DE SAN ROQUE PARA LA EJECUCIÓN DE LAS ACTIVIDADES DE MEJORAMIENTO DE VÍAS URBANAS EN EL MUNICIPIO ASOCIADO.</t>
  </si>
  <si>
    <t>vias urbanas del municipio</t>
  </si>
  <si>
    <t xml:space="preserve">LIQUIDADO SIN PAZ Y SALVO - Finalmente se ejecutaron 1034   (Seg 14.08.2026 )Liquidación Bilaterala del 11/05/2025 Con un cobro persuasivo, Obra del 100% Recursos del 94.48% </t>
  </si>
  <si>
    <t>SABANETA</t>
  </si>
  <si>
    <t>AUNAR ESFUERZOS EN LA COFINANCIACIÓN DE LA REHABILITACIÓN DE LA AVENIDA REGIONAL SUR EN EL MUNICIPIO DE SABANETA-DEPARTAMENTO DE ANTIOQUIA</t>
  </si>
  <si>
    <t>corredor vial entre ancón sur y la calle 50 o frontera con el Municipio de Envigado</t>
  </si>
  <si>
    <t>ejecución fisica 93%, recursos 100% en el idea</t>
  </si>
  <si>
    <t>21AS111B67</t>
  </si>
  <si>
    <t>APOYAR AL MUNICIPIO DE CHIGORODÓ, CON EL SUMINISTRO DE MATERIALES POR PARTE DEL DEPARTAMENTO DE ANTIOQUIA PARA LLEVAR A CABO EL MEJORAMIENTO DE VIAS URBANAS</t>
  </si>
  <si>
    <t>05/03/2025 LIQUIDADO EL 12/11/2024</t>
  </si>
  <si>
    <t>21AS111B103</t>
  </si>
  <si>
    <t>SEGOVIA</t>
  </si>
  <si>
    <t>APOYAR AL MUNICIPIO DE SEGOVIA, CON EL SUMINISTRO DE MATERIALES POR PARTE DEL DEPARTAMENTO DE ANTIOQUIA PARA LLEVAR A CABO EL MEJORAMIENTO DE VIAS URBANAS</t>
  </si>
  <si>
    <t xml:space="preserve">
100% DE MATERIALES 
25/11/2024 Invitación a liquidar bilateralmente el convenio 21AS111B103 de 2021 enviada el 5 de septiembre de 2024. 
PENDIENTE LIQUIDACiÓN 
100% DE MATERIALES 
Municipio no reporta avance. </t>
  </si>
  <si>
    <t>21AS111B58</t>
  </si>
  <si>
    <t>APOYAR AL MUNICIPIO DE PUERTO TRIUNFO, CON EL SUMINISTRO DE MATERIALES POR PARTE DEL DEPARTAMENTO DE ANTIOQUIA PARA LLEVAR A CABO EL MEJORAMIENTO DE VIAS URBANAS</t>
  </si>
  <si>
    <t>Pavimentacion de via cabecera urbana en la carrera 11 entre calles 18 y 22  y otras vias urbanas
Pavimentacion de via cabecera urbana en la Calle 23 entre Carreras 10 a y 10 b y Cra 10 a entre Calles 22 y 23
Pavimentacion de via cabecera urbana sector Hospital en la Calle 15 entre Cra 10a y Cra 11, Cra 11 entre Calle 15 y 17</t>
  </si>
  <si>
    <t xml:space="preserve">Seg.14/08/2026 ) Liquidación Unilateral del 06/12/2024 con cobro persuasico - obra del 63.1%, recursos del 100% </t>
  </si>
  <si>
    <t>GERENCIA DE PROYECTOS ESPECIALES</t>
  </si>
  <si>
    <t>SGR</t>
  </si>
  <si>
    <t>EMPRESA DE DESARROLLO DE SAN CARLOS</t>
  </si>
  <si>
    <t>Pavimentación de vías terciarias en sistema placa huella en el Municipio de San Carlos</t>
  </si>
  <si>
    <t>Mejorar la Conectividad Terrestre en los tramos en las vias terciarias rurales:- La Villa -
Bellavista- Samaná - Prado - San Blas - Patio
Bonito- Vallejuelo - Puerto Rico</t>
  </si>
  <si>
    <t>Abscisas:
La Villa - Bellavista: Latitud 6.170019°, Longitud -
74.992405°
Vallejuelo - Puerto Rico: Latitud
6.196306°Longitud -75.030494°
Samaná - Prado: Latitud 6.103169°, Longitud -
74.898333°
San Blas - Patio Bonito: Latitud 6.185538°,
Longitud -74.849407°</t>
  </si>
  <si>
    <t>BICIMOTORRUTAS</t>
  </si>
  <si>
    <t>APOYAR CON RECURSOS ECONOMICOS AL MUNICIPIO DE VEGACHÍ PARA LA CONSTRUCCIÓN DE LA BICIMOTORRUTA UBICADA EN EL MUNICIPIO ASOCIADO</t>
  </si>
  <si>
    <t>Camino de herradura que va desde la vía a cargo del municipio (05858VT10) hasta el sector La Sonadora con una longitud aproximada a intervenir de 1.44 km.
Camino de herradura que va desde la vía a cargo del municipio (05858VT55) hasta el sector El olvido con una longitud aproximada a intervenir de 0.56 km</t>
  </si>
  <si>
    <t xml:space="preserve">
07/03/2025 el municipio ejecuto solo un tramo que equivale a un 30% de ejecución fisica, los demas recursos deben ser reintegrados, la no ejecución restante se debe a la alteración del orden público SEG.22/07/2026 lIQUIDADO bILATERALMENTE.</t>
  </si>
  <si>
    <t>APOYAR CON RECURSOS ECONOMICOS AL MUNICIPIO DE JERICÓ PARA LA CONSTRUCCIÓN DE LA BICIMOTORRUTA UBICADA EN EL MUNICIPIO ASOCIADO</t>
  </si>
  <si>
    <t>Desde la Vía Sectores Patío Bonito-Puerto Arturo Y Vereda La Leona con cód. 05368VT170 y llega hasta la I.E.N.S de la vereda La Fé</t>
  </si>
  <si>
    <t xml:space="preserve">
terminado, por liquidar sEG. 22/07/2026 lIQUIDADO Unilateralmente, pendiente recursos de reposición.</t>
  </si>
  <si>
    <t>APOYAR CON RECURSOS ECONOMICOS AL MUNICIPIO DE VALDIVIA PARA LA CONSTRUCCIÓN DE LA BICIMOTORRUTA UBICADA EN EL MUNICIPIO ASOCIADO</t>
  </si>
  <si>
    <t>Caseta comunal hasta CER Los Pomos con una longitud aproximada a intervenir de 0.7 km
Sector Castillo hasta CER Los Pomos con una longitud aproximada a intervenir de 0.7 km</t>
  </si>
  <si>
    <t xml:space="preserve">
30/01/2024 CONVENIO se terminó sin ejecución 
21/06/2024 municipio debe reintegrar todo el recurso debido a que no se ejecutó la obra Seg 22/07/2026 Liquidado Unilateralemente. Pendiente el reintegro de la totalidad del recurso del Departamento.</t>
  </si>
  <si>
    <t>ITUANGO</t>
  </si>
  <si>
    <t>Camino que conecta desde la Vía Presa-Puerto Valdivia hasta el Corregimiento El Aro con una longitud aproximada a intervenir de 6.3 km</t>
  </si>
  <si>
    <t>(23/04/2024)  municipio reintegró el recurso debido a que no ejecutaron el proyecto, (Seg. 22/07/2026)  POr liquidar está en proceso de la D. asuntos legales. (Seg.25/08/206) tiene hasta el 21/11/2026 para realizar la liquidación.</t>
  </si>
  <si>
    <t>MURINDÓ</t>
  </si>
  <si>
    <t>APOYAR CON RECURSOS ECONOMICOS AL MUNICIPIO DE MURINDÓ PARA LA CONSTRUCCIÓN DE LA BICIMOTORRUTA UBICADA EN EL MUNICIPIO ASOCIADO</t>
  </si>
  <si>
    <t>Milton - Bartolo - Pital - Polígono Sitio de reubicación - Osman con una longitud aproximada
a intervenir de 3 km</t>
  </si>
  <si>
    <t>Avance de obra 83%, termina 18/11/2025. (20/11/2025) con acta de terminación, por liquidar, avance de obra 83%. (20/04/2026)  pendiente de una visita poscontractual Para verificar el estado y los avances Informados por el municipio, avance de obra fisica 83%, ejecución financiera 87,95% . (Seg. 22/07/2026)  se está a la espera de la respuesta del Mpio. para proceder con la liquidación,  Informe Seguimiento #9, del 02/03/2025, % Fisico del 87.95% y Financiera del 86.6% de la 1mera.,  2da. y 3ra. autorización de recursos,  - Acta de Terminación del 18/11/2025.</t>
  </si>
  <si>
    <t>JUAN ESTEBAN SIERRA ESCOBAR</t>
  </si>
  <si>
    <t>VIAS TERCIARIAS MANTENIDAS</t>
  </si>
  <si>
    <t>RENTAN S.A.S</t>
  </si>
  <si>
    <t>ADMINISTRACIÓN DE RECURSOS EN LA OPERACIÓN DE MAQUINARIA AMARILLA PERTENECIENTE AL DEPARTAMENTO DE ANTIOQUIA Y EL ALQUILER DE MAQUINARIA PESADA, EQUIPOS Y VEHÍCULOS PARA LA ATENCIÓN INMEDIATA DE EMERGENCIAS Y PUNTOS CRÍTICOS EN LA INFRAESTRUCTURA VIAL DEL DEPARTAMENTO DE ANTIOQUIA.</t>
  </si>
  <si>
    <t>VIAS TERCIARAS DE LOS MUNICIPIOS</t>
  </si>
  <si>
    <t xml:space="preserve">
</t>
  </si>
  <si>
    <t>Mejoramiento de 2 Kilómetros de Tramos Viales Localizados en las Veredas San Ignacio y Santa Barbara del Municipio de Maceo</t>
  </si>
  <si>
    <t>Construcción de placa huella para el mejoramiento de la vía terciaria ubicada entre las veredas La Tebaida y El Popal municipio de San Luis Antioquia</t>
  </si>
  <si>
    <t>GUADALUPE</t>
  </si>
  <si>
    <t>Mejoramiento de vías terciarias en el municipio de Guadalupe Antioquia</t>
  </si>
  <si>
    <t>AMALFI</t>
  </si>
  <si>
    <t>Construcción de 2 km de placa huella en la vereda Guayabito del municipio de Amalfi</t>
  </si>
  <si>
    <t>Mejoramiento de la vía terciaria que comunica la vereda El Roblal y el Sector la Ye en el municipio de Briceño Antioquia</t>
  </si>
  <si>
    <t>Construcción de Placa Huella de la vía Terciaria en el tramo que comunica las veredas de San Francisco y Manzanares en el municipio de Sonsón</t>
  </si>
  <si>
    <t>TÁMESIS</t>
  </si>
  <si>
    <t>Construcción de placa huella de la vía terciaria El Hacha - La Alacena en el Municipio de Támesis del departamento de Antioquia</t>
  </si>
  <si>
    <t>Mejoramiento de vías terciarias mediante la pavimentación en placa huella del tramo que conecta a Puente Linda con el Corregimiento de Puerto Venus en el municipio de Nariño Antioquia</t>
  </si>
  <si>
    <t>Construcción de placa huella productiva en la vía terciaria Águila-Roblar del municipio de Giraldo</t>
  </si>
  <si>
    <t>CAROLINA DEL PRÍNCIPE</t>
  </si>
  <si>
    <t>Mejoramiento de 2 Kilómetros de vía mediante la construcción de placa huella en la vereda Claritas del Municipio de Carolina</t>
  </si>
  <si>
    <t>Rehabilitación con pavimento tipo placa huella de la vía terciaria Manzanillo en el Municipio de Ciudad Bolívar Antioquia</t>
  </si>
  <si>
    <t>ENTRERRÍOS</t>
  </si>
  <si>
    <t>Pavimentación tipo placa huella en vías rurales del municipio de Entrerríos Antioquia</t>
  </si>
  <si>
    <t>Mejoramiento vías terciarias en las veredas el rano la clarita y la Arroyave en el municipio de San Pedro de los Milagros</t>
  </si>
  <si>
    <t>Mejoramiento de la malla vial de 3 km mediante el sistema constructivo de placa huella en el corredor vial Andes - Santa Rita; en el municipio de Andes departamento de Antioquia</t>
  </si>
  <si>
    <t>Mejoramiento de vías terciarías del Municipio de Cocorná Antioquia</t>
  </si>
  <si>
    <t>Mejoramiento de vías terciarias en las veredas Pueblitos la Delgadita Malabrigo y Maní del Cardal del municipio de Amagá Antioquia</t>
  </si>
  <si>
    <t>Construcción de placa huella de la vía terciaria Vereda La Meseta sector El Corcovado en el municipio de Titiribí Antioquia</t>
  </si>
  <si>
    <t>Mejoramiento de vías terciarias mediante la construcción de placa huellas entre el corregimiento las mercedes y la vereda la estrella en el municipio de Puerto Triunfo Antioquia</t>
  </si>
  <si>
    <t>Construcción de puente y mejoramiento del corredor vial Sopetrán-El Rodeo-Sabanazo en el municipio de Sopetrán, Antioquia</t>
  </si>
  <si>
    <t>Mejoramiento de la vía de acceso a la vereda Potrerito municipio de San José de la Montaña Antioquia</t>
  </si>
  <si>
    <t>Construcción y mejoramiento de vía terciaria del municipio de El Peñol Antioquia</t>
  </si>
  <si>
    <t>Pavimentación de vías en sistemas constructivo placa huella para las veredas La Angostura Chilimaco sectores rurales del municipio de Gómez Plata Antioquia</t>
  </si>
  <si>
    <t>CAUCASIA</t>
  </si>
  <si>
    <t>Mejoramiento de las vias terciarias mediante placa huella en el municipio de Caucasia, Antioquia</t>
  </si>
  <si>
    <t>Mejoramiento de vía (vereda San Isidro-vereda Boquerón) en el municipio San Francisco, Antioquia</t>
  </si>
  <si>
    <t>Mejoramiento de la vía de acceso a la vereda Iborra en el municipio de Donmatías</t>
  </si>
  <si>
    <t>Pavimentacion de vias rurales en el municipio de Marinilla, Antioquia</t>
  </si>
  <si>
    <t>Construccion de placa huella en la vía de acceso al corregimiento de Belén, municipio de San Juan de Urabá, departamento de Antioquia</t>
  </si>
  <si>
    <t>Mejoramiento de vias terciarias en los sectores de Manila, La Luz, Chico y Bizcocho en el municipio de San Rafael, Antioquia</t>
  </si>
  <si>
    <t>Construccion placa huella en las veredas Palmichal y Sucre, municipio de Caramanta, Antioquia</t>
  </si>
  <si>
    <t>Mejoramiento de vias terciarias mediante el uso de placa huella en la vía Anorí - La Plancha, en las veredas chagualo y las nieves del municipio de Anorí, Antioquia.</t>
  </si>
  <si>
    <t>Mejoramiento de la vía vereda Quebradona Arriba en el municipio de Granada Antioquia</t>
  </si>
  <si>
    <t>Construcción de pavimento rígido en el área urbana del municipio de Cocorná Antioquia</t>
  </si>
  <si>
    <t>Mejoramiento de vias mediante placa huella en la vereda La Eme, Piedras Blancas, Piedras Gordas Y Alto Roble en el municipio de Santo Domingo</t>
  </si>
  <si>
    <t>Mejoramiento 1 kilometro de red vial terciaria en la vereda San Juan en zona rural del municipio de Caicedo, Antioquia</t>
  </si>
  <si>
    <t>Mejoramiento de vía (Pedral arriba sector San Luis) en el municipio de Betania, Antioquia</t>
  </si>
  <si>
    <t>Mejoramiento de Vías Rurales en Placa Huella en el Municipio de San Vicente Ferrer Antioquia</t>
  </si>
  <si>
    <t>Pavimentación mediante el sistema constructivo placa huella via terciaria San Juaquin vereda La Palamira del municipio de Hispania, Antioquía</t>
  </si>
  <si>
    <t>Mejoramiento de vias terciarias mediante la construcción de placa huella vereda Helechales en la zona rural del municipio de Toledo, Antioquia</t>
  </si>
  <si>
    <t>Mejoramiento de vías mediante placa huella en la vereda Buenavista y Chorrillo en el municipio de Briceño, Antioquia</t>
  </si>
  <si>
    <t>Mejoramiento de la vía-Granada-Guatapé sector la Sonadora y la Peña, del municipio de Guatape, Antioquia</t>
  </si>
  <si>
    <t>Construcción de placa huella en la vía terciaria vereda El Encanto del municipio de Támesis del departamento de Antioquia</t>
  </si>
  <si>
    <t>Mejoramiento de las vías que conducen a las veredas El Llano y El Recreo del municipio de Nariño Antioquia</t>
  </si>
  <si>
    <t>Adecuación y Mejoramiento de la infraestructura vial del municipio de Heliconia, Antioquia</t>
  </si>
  <si>
    <t>Pavimentación de via rural mediante contrucción de placa huella en la vereda El Limon del municipio de Campamento, Antioquia</t>
  </si>
  <si>
    <t>Mejoramiento de vías del circuito productivo rural cafetero en el municipio de Alejandría Antioquia</t>
  </si>
  <si>
    <t>Transformación Urbanística de la Calle 97 y Vías Conexas para una Movilidad Segura en el Municipio de Chigorodó Antioquia</t>
  </si>
  <si>
    <t>Construcción de pavimento rígido, urbanismo y obras complementarias para el desarrollo en el municipio de Chigorodó, Antioquia</t>
  </si>
  <si>
    <t>Mejoramiento de vías terciarias en el municipio de El Santuario, Antioquia</t>
  </si>
  <si>
    <t>Mejoramiento de Vías Terciarias en el Municipio de Angostura Antioquia</t>
  </si>
  <si>
    <t>Construcción de Placa Huella en la vía terciaria de la vereda Pantalio en el municipio de El Retiro Antioquia</t>
  </si>
  <si>
    <t>Mejoramiento de vías terciarias en las veredas La Camelia y el Tablazo del municipio de Montebello, Antioquia</t>
  </si>
  <si>
    <t>ARGELIA</t>
  </si>
  <si>
    <t>Mejoramiento de vías terciarias en el municipio de Argelia de María Antioquia</t>
  </si>
  <si>
    <t>Mejoramiento de la vía Bellavista - Sabanalarga Sector Patio Bonito en el municipio de Cisneros Antioquia</t>
  </si>
  <si>
    <t>CÁCERES</t>
  </si>
  <si>
    <t>Mejoramiento de Vías Rurales Mediante la Construcción de Placa Huella en el Municipio de Cáceres Antioquia</t>
  </si>
  <si>
    <t>ARMENIA MANTEQUILLA</t>
  </si>
  <si>
    <t>Construcción de placa huella para el mejoramiento de la vía que conduce al sector el Coco en el Municipio de Chigorodó Antioquia</t>
  </si>
  <si>
    <t>Pavimentación y Adecuación de Vía en el Barrio el Socorro y La Copa en la Zona Urbana del Municipio de Uramita Antioquia</t>
  </si>
  <si>
    <t>Mejoramiento de las vías rurales del municipio de Rionegro, Antioquia</t>
  </si>
  <si>
    <t>26AS111B2899</t>
  </si>
  <si>
    <t>APOYAR AL MUNICIPIO DE DABEIBA MEDIANTE EL SUMINISTRO DE MATERIALES POR PARTE DEL DEPARTAMENTO DE ANTIOQUIA, CON EL FIN DE EJECUTAR EL MEJORAMIENTO DE LAS VÍAS TERCIARIAS PRIORIZADAS COMO PARTE DE LAS ACCIONES ORIENTADAS A LA MATERIALIZACIÓN DE LOS PROYECTOS DE JUSTICIA RESTAURATIVA DERIVADOS DEL ACUERDO DE VOLUNTADES SUSCRITO ENTRE LA JURISDICCIÓN ESPECIAL PARA LA PAZ (JEP).</t>
  </si>
  <si>
    <t>26AS111B2900</t>
  </si>
  <si>
    <t>• Vía Caicedo - La Salazar (05125VT11) - 400 metros
• Vía Caicedo-Anocozca {05125VT02)-200 metros
• Vía Anocozca - Chochal (05125VT06)-200 metros
• Vía Vereda La Soledad (05125VT10)-200 metros</t>
  </si>
  <si>
    <t>26AS111B2901</t>
  </si>
  <si>
    <t>• Vía Medíacuesta (05138VT13)-200 metros
• Vía Paso Arriba (05138VT18)-200 metros
• Vía La Llorona parte baja (05138VT28)-100 metros</t>
  </si>
  <si>
    <t>26AS111B2902</t>
  </si>
  <si>
    <t>APOYAR AL MUNICIPIO DE SAN ROQUE, CON EL SUMINISTRO DE MATERIALES POR PARTE DEL DEPARTAMENTO DE ANTIOQUIA PARA LLEVAR A CABO EL MEJORAMIENTO DE VÍAS TERCIARIAS UBICADAS EN EL MUNICIPIO ASOCIADO</t>
  </si>
  <si>
    <t>REPARCHEO</t>
  </si>
  <si>
    <t>CONVENIO INTERADMINISTRATIVO PARA COORDINAR ESFUERZOS OPERATIVOS Y COFINANCIAR EL MEJORAMIENTO DE VIAS TERCIARIAS (SAN NICOLÁS) EN EL MUNICIPIO DE LA CEJA</t>
  </si>
  <si>
    <t>Mejoramiento o Parcheo de la vía San Nicolás ( con código 05376VT01 en el municipio de la Ceja de el Tambo )</t>
  </si>
  <si>
    <t>(05/02/2026) prórroga por 45 dias hasta el 18/03/2026, (18/03/2026) terminado 100%, pendiente liquidar  (Seg. 14/08/2025) Obra 100 %, Recursos 80% , Pago pendiente: Si, pendiente: Documentos para 2do. desembolso, Visita: Si, está para liquidación.</t>
  </si>
  <si>
    <t>23AS111B799</t>
  </si>
  <si>
    <t>APOYAR AL MUNICIPIO DE BELMIRA, CON EL SUMINISTRO DE MATERIALES POR PARTE DEL DEPARTAMENTO DE ANTIOQUIA PARA LLEVAR A CABO EL MEJORAMIENTO DE VÍAS TERCIARIAS UBICADAS EN EL MUNICIPIO ASOCIADO</t>
  </si>
  <si>
    <t>Vereda Zafra (05086Vr41)
• Vereda Salazar (05086Vr21)
• Vereda Amoladora</t>
  </si>
  <si>
    <t>06/05/2025 TERMINADO 100%
LIQUIDADO</t>
  </si>
  <si>
    <t>23AS111B1174</t>
  </si>
  <si>
    <t>APOYAR AL MUNICIPIO DE HELICONIA CON EL SUMINISTRO DE MATERIALES POR PARTE DEL DEPARTAMENTO DE ANTIOQUIA PARA LLEVAR A CABO EL MEJORAMIENTO DE VIAS TERCIARIAS UBICADAS EN EL MUNICIPIO ASOCIADO</t>
  </si>
  <si>
    <t>VIA LA CHORRERA</t>
  </si>
  <si>
    <t>12/09/2024 terminado</t>
  </si>
  <si>
    <t>23AS111B777</t>
  </si>
  <si>
    <t>APOYAR AL MUNICIPIO DE MACEO, CON EL SUMINISTRO DE MATERIALES POR PARTE DEL DEPARTAMENTO DE ANTIOQUIA PARA LLEVAR A CABO EL MEJORAMIENTO DE VÍAS TERCIARIAS
UBICADAS EN EL MUNICIPIO ASOCIADO.</t>
  </si>
  <si>
    <t>VIA LA SUSANA,MACEO - TRES PIDRAS - LA LONDRA - EL INGENIO,SAN JUDAS - OLIVARES,EL GANCHAL - LAS VIGILIAS - ALICANTE,LA GAZAPERA,ALTO DOLORES,GUARDASOL,SANTA CRUZ,LAS VIOLETAS - MONTENEGRO,RAMAL PARTIDAS TRES PIEDRAS - ESCUELA TRES PIEDRAS,SAN LAUREANO - SAN LUCAS,LA FLORESTA - EL RAYO,SAN IGNASIO,SAN LUCAS,SAN CIPRIANO - SAN LUCAS - SAN LUIS,PARTIDAS LA PUREZA - LA PUREZA - LA FLORESTA</t>
  </si>
  <si>
    <t>25/11/2024 Convenio finalizó el 30/09/2023- Se realizarón 3 entregas de materiales, la última entrega de materiales el 18/09/2025. Pendiente por liquidar - (Seg. 12/08/2026) _ con Acta de Terminación e  Informe de Seguimiento # 2 del 30/09/2023 , Ejecución Fisíca  y Recursos del 100%, _ Liquidación Unilateral e Informe de Seguimiento # 4 del 24/02/2026, Ejecución Fisíca y Recursos del 62.10%, Presupuesto de $598.814.049 los mismo que se entregarón en su totalidad al Municipio; de los que ejecutarón $371.863.524, por lo tanto el Municipio deberá reintegrar al Dpto. $226.944.302, Cuenta con Citación Notificación Personal del 25/02/2026 , Notificación por Aviso del 12/03/2026, Recurso de Reposición del Municipio del 27/03/2026 el cual está en revisión de la supervisora y la Dirección Jurídica.</t>
  </si>
  <si>
    <t>23AS111B827</t>
  </si>
  <si>
    <t>MURINDO</t>
  </si>
  <si>
    <t>APOYAR AL MUNICIPIO DE MURINDÓ, CON EL SUMINISTRO DE MATERIALES POR PARTE DEL DEPARTAMENTO DE ANTIOQUIA PARA LLEVAR A CABO EL MEJORAMIENTO
DE VÍAS TERCIARIAS UBICADAS EN EL MUNICIPIO ASOCIADO</t>
  </si>
  <si>
    <t>CHIBUGADO,CHAGERADO, ISLA,GUAGUA</t>
  </si>
  <si>
    <t>23AS111B1201</t>
  </si>
  <si>
    <t>APOYAR AL MUNICIPIO DE SAN ROQUE, CON EL SUMINISTRO DE MATERIALES POR PARTE DEL DEPARTAMENTO DE ANTIOQUIA PARA LLEVAR A CABO EL MEJORAMIENTO DE VÍAS TERCIARIAS UBICADAS EN EL MUNICIPIO ASOCIADO.</t>
  </si>
  <si>
    <t xml:space="preserve">San Roque - Chorroclaro 
 Ramal Altos de San Pablo 
 Ramal Morro Pelón 
 La Floresta - San Javier </t>
  </si>
  <si>
    <t>25/11/2024  Se realizarón las 3 entregas de materiales establecidas en el convenio. Pediente visita final de verificación de alcance. (Seg. 12/08/2026) _  Acta de Terminación e Informe Seguimiento #2 del 31/05/2024 , Presupuesto de $645.074.706 los cuales se entregarón en su totalidad, % Física del 60% y Recursos del  100% _ Se solicitarón documentos para liquidar el 24/06/2025, se tiene respuesta el 02/09/2025 _ pendiente de liquidar.(Seg. 27/08/2026) Liquidación Bilateral del 04/05/2026 obra del 100%, recursos 98%. Quedar a paz y salvo por todo concepto en todas la obligaciones originadas en el  presente convenio. Pendiente Cierre de Expediente.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</si>
</sst>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quot;$&quot;\ * #,##0_-;\-&quot;$&quot;\ * #,##0_-;_-&quot;$&quot;\ * &quot;-&quot;??_-;_-@"/>
    <numFmt numFmtId="165" formatCode="0.0"/>
    <numFmt numFmtId="166" formatCode="0.0%"/>
    <numFmt numFmtId="167" formatCode="d/M/yyyy"/>
    <numFmt numFmtId="168" formatCode="&quot;$&quot;\ #,##0"/>
    <numFmt numFmtId="169" formatCode="yyyy\-mm\-dd"/>
    <numFmt numFmtId="170" formatCode="dd/mm/yyyy"/>
    <numFmt numFmtId="171" formatCode="#,##0.000"/>
    <numFmt numFmtId="172" formatCode="#,##0.0000"/>
    <numFmt numFmtId="173" formatCode="#,##0.0"/>
  </numFmts>
  <fonts count="13">
    <font>
      <sz val="11.0"/>
      <color theme="1"/>
      <name val="Calibri"/>
      <scheme val="minor"/>
    </font>
    <font>
      <b/>
      <sz val="11.0"/>
      <color theme="1"/>
      <name val="Calibri"/>
    </font>
    <font>
      <sz val="11.0"/>
      <color theme="1"/>
      <name val="Calibri"/>
    </font>
    <font>
      <sz val="11.0"/>
      <color rgb="FFFF0000"/>
      <name val="Calibri"/>
    </font>
    <font>
      <sz val="11.0"/>
      <color rgb="FFFF00FF"/>
      <name val="Calibri"/>
    </font>
    <font>
      <sz val="11.0"/>
      <color rgb="FF000000"/>
      <name val="Calibri"/>
    </font>
    <font>
      <b/>
      <sz val="11.0"/>
      <color rgb="FF000000"/>
      <name val="Calibri"/>
    </font>
    <font>
      <color theme="1"/>
      <name val="Calibri"/>
      <scheme val="minor"/>
    </font>
    <font>
      <b/>
      <sz val="11.0"/>
      <color rgb="FFFF0000"/>
      <name val="Calibri"/>
    </font>
    <font>
      <b/>
      <sz val="11.0"/>
      <color rgb="FFFF00FF"/>
      <name val="Calibri"/>
    </font>
    <font>
      <color rgb="FF000000"/>
      <name val="Calibri"/>
      <scheme val="minor"/>
    </font>
    <font>
      <sz val="11.0"/>
      <color rgb="FF980000"/>
      <name val="Calibri"/>
    </font>
    <font>
      <b/>
      <sz val="11.0"/>
      <color rgb="FF980000"/>
      <name val="Calibri"/>
    </font>
  </fonts>
  <fills count="21">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EAD1DC"/>
        <bgColor rgb="FFEAD1DC"/>
      </patternFill>
    </fill>
    <fill>
      <patternFill patternType="solid">
        <fgColor rgb="FFFFFFFF"/>
        <bgColor rgb="FFFFFFFF"/>
      </patternFill>
    </fill>
    <fill>
      <patternFill patternType="solid">
        <fgColor rgb="FFA4C2F4"/>
        <bgColor rgb="FFA4C2F4"/>
      </patternFill>
    </fill>
    <fill>
      <patternFill patternType="solid">
        <fgColor rgb="FFF3F3F3"/>
        <bgColor rgb="FFF3F3F3"/>
      </patternFill>
    </fill>
    <fill>
      <patternFill patternType="solid">
        <fgColor rgb="FFF4CCCC"/>
        <bgColor rgb="FFF4CCCC"/>
      </patternFill>
    </fill>
    <fill>
      <patternFill patternType="solid">
        <fgColor rgb="FFDDEBF7"/>
        <bgColor rgb="FFDDEBF7"/>
      </patternFill>
    </fill>
    <fill>
      <patternFill patternType="solid">
        <fgColor rgb="FFD9D9D9"/>
        <bgColor rgb="FFD9D9D9"/>
      </patternFill>
    </fill>
    <fill>
      <patternFill patternType="solid">
        <fgColor rgb="FFF9CB9C"/>
        <bgColor rgb="FFF9CB9C"/>
      </patternFill>
    </fill>
    <fill>
      <patternFill patternType="solid">
        <fgColor rgb="FFE6B8AF"/>
        <bgColor rgb="FFE6B8AF"/>
      </patternFill>
    </fill>
    <fill>
      <patternFill patternType="solid">
        <fgColor rgb="FFEFEFEF"/>
        <bgColor rgb="FFEFEFEF"/>
      </patternFill>
    </fill>
    <fill>
      <patternFill patternType="solid">
        <fgColor rgb="FFFF0000"/>
        <bgColor rgb="FFFF0000"/>
      </patternFill>
    </fill>
    <fill>
      <patternFill patternType="solid">
        <fgColor rgb="FFE2EFDA"/>
        <bgColor rgb="FFE2EFDA"/>
      </patternFill>
    </fill>
    <fill>
      <patternFill patternType="solid">
        <fgColor rgb="FFCCCCCC"/>
        <bgColor rgb="FFCCCCCC"/>
      </patternFill>
    </fill>
    <fill>
      <patternFill patternType="solid">
        <fgColor rgb="FFFFF2CC"/>
        <bgColor rgb="FFFFF2CC"/>
      </patternFill>
    </fill>
    <fill>
      <patternFill patternType="solid">
        <fgColor rgb="FFF2F2F2"/>
        <bgColor rgb="FFF2F2F2"/>
      </patternFill>
    </fill>
    <fill>
      <patternFill patternType="solid">
        <fgColor rgb="FFFFE599"/>
        <bgColor rgb="FFFFE599"/>
      </patternFill>
    </fill>
    <fill>
      <patternFill patternType="solid">
        <fgColor rgb="FFFF9900"/>
        <bgColor rgb="FFFF9900"/>
      </patternFill>
    </fill>
  </fills>
  <borders count="9">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style="thin">
        <color rgb="FF9BC2E6"/>
      </top>
      <bottom style="thin">
        <color rgb="FF9BC2E6"/>
      </bottom>
    </border>
  </borders>
  <cellStyleXfs count="1">
    <xf borderId="0" fillId="0" fontId="0" numFmtId="0" applyAlignment="1" applyFont="1"/>
  </cellStyleXfs>
  <cellXfs count="47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2" fillId="0" fontId="1" numFmtId="164" xfId="0" applyAlignment="1" applyBorder="1" applyFont="1" applyNumberFormat="1">
      <alignment horizontal="center" shrinkToFit="0" vertical="center" wrapText="1"/>
    </xf>
    <xf borderId="2" fillId="0" fontId="1" numFmtId="165" xfId="0" applyAlignment="1" applyBorder="1" applyFont="1" applyNumberFormat="1">
      <alignment horizontal="center" shrinkToFit="0" vertical="center" wrapText="1"/>
    </xf>
    <xf borderId="2" fillId="2" fontId="1" numFmtId="0" xfId="0" applyAlignment="1" applyBorder="1" applyFill="1" applyFont="1">
      <alignment horizontal="center" shrinkToFit="0" vertical="center" wrapText="1"/>
    </xf>
    <xf borderId="2" fillId="0" fontId="1" numFmtId="2" xfId="0" applyAlignment="1" applyBorder="1" applyFont="1" applyNumberFormat="1">
      <alignment horizontal="center" shrinkToFit="0" vertical="center" wrapText="1"/>
    </xf>
    <xf borderId="2" fillId="3" fontId="1" numFmtId="0" xfId="0" applyAlignment="1" applyBorder="1" applyFill="1" applyFont="1">
      <alignment horizontal="center" readingOrder="0" shrinkToFit="0" vertical="center" wrapText="1"/>
    </xf>
    <xf borderId="2" fillId="4" fontId="1" numFmtId="0" xfId="0" applyAlignment="1" applyBorder="1" applyFill="1" applyFont="1">
      <alignment horizontal="center" readingOrder="0" shrinkToFit="0" vertical="center" wrapText="1"/>
    </xf>
    <xf borderId="2" fillId="5" fontId="1" numFmtId="0" xfId="0" applyAlignment="1" applyBorder="1" applyFill="1" applyFont="1">
      <alignment horizontal="center" readingOrder="0" shrinkToFit="0" vertical="center" wrapText="1"/>
    </xf>
    <xf borderId="2" fillId="6" fontId="1" numFmtId="0" xfId="0" applyAlignment="1" applyBorder="1" applyFill="1" applyFont="1">
      <alignment horizontal="center" readingOrder="0" shrinkToFit="0" vertical="center" wrapText="1"/>
    </xf>
    <xf borderId="2" fillId="0" fontId="1" numFmtId="166" xfId="0" applyAlignment="1" applyBorder="1" applyFont="1" applyNumberFormat="1">
      <alignment horizontal="center" shrinkToFit="0" vertical="center" wrapText="1"/>
    </xf>
    <xf borderId="3" fillId="0" fontId="1" numFmtId="0" xfId="0" applyAlignment="1" applyBorder="1" applyFont="1">
      <alignment horizontal="center" shrinkToFit="0" vertical="center" wrapText="1"/>
    </xf>
    <xf borderId="4" fillId="0" fontId="1" numFmtId="167" xfId="0" applyAlignment="1" applyBorder="1" applyFont="1" applyNumberFormat="1">
      <alignment horizontal="center" shrinkToFit="0" vertical="center" wrapText="1"/>
    </xf>
    <xf borderId="4"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7" fontId="2" numFmtId="0" xfId="0" applyAlignment="1" applyFill="1" applyFont="1">
      <alignment horizontal="center" readingOrder="0" vertical="center"/>
    </xf>
    <xf borderId="5" fillId="7" fontId="2" numFmtId="0" xfId="0" applyAlignment="1" applyBorder="1" applyFill="1" applyFont="1">
      <alignment horizontal="center" readingOrder="0" vertical="center"/>
    </xf>
    <xf borderId="6" fillId="7" fontId="2" numFmtId="0" xfId="0" applyAlignment="1" applyBorder="1" applyFill="1" applyFont="1">
      <alignment horizontal="center" readingOrder="0" shrinkToFit="0" vertical="center" wrapText="1"/>
    </xf>
    <xf borderId="5" fillId="7" fontId="2" numFmtId="0" xfId="0" applyAlignment="1" applyBorder="1" applyFill="1" applyFont="1">
      <alignment horizontal="center" readingOrder="0" shrinkToFit="0" vertical="center" wrapText="1"/>
    </xf>
    <xf borderId="7" fillId="7" fontId="1" numFmtId="0" xfId="0" applyAlignment="1" applyBorder="1" applyFill="1" applyFont="1">
      <alignment horizontal="center" readingOrder="0" shrinkToFit="0" vertical="center" wrapText="1"/>
    </xf>
    <xf borderId="5" fillId="7" fontId="2" numFmtId="1" xfId="0" applyAlignment="1" applyBorder="1" applyFill="1" applyFont="1" applyNumberFormat="1">
      <alignment horizontal="center" readingOrder="0" shrinkToFit="0" vertical="center" wrapText="1"/>
    </xf>
    <xf borderId="5" fillId="7" fontId="1" numFmtId="3" xfId="0" applyAlignment="1" applyBorder="1" applyFill="1" applyFont="1" applyNumberFormat="1">
      <alignment horizontal="center" readingOrder="0" vertical="center"/>
    </xf>
    <xf borderId="5" fillId="7" fontId="2" numFmtId="0" xfId="0" applyAlignment="1" applyBorder="1" applyFill="1" applyFont="1">
      <alignment horizontal="center" vertical="center"/>
    </xf>
    <xf borderId="5" fillId="7" fontId="2" numFmtId="164" xfId="0" applyAlignment="1" applyBorder="1" applyFill="1" applyFont="1" applyNumberFormat="1">
      <alignment horizontal="center" readingOrder="0" shrinkToFit="0" vertical="center" wrapText="1"/>
    </xf>
    <xf borderId="5" fillId="7" fontId="2" numFmtId="168" xfId="0" applyAlignment="1" applyBorder="1" applyFill="1" applyFont="1" applyNumberFormat="1">
      <alignment horizontal="center" readingOrder="0" shrinkToFit="0" vertical="center" wrapText="1"/>
    </xf>
    <xf borderId="5" fillId="7" fontId="1" numFmtId="168" xfId="0" applyAlignment="1" applyBorder="1" applyFill="1" applyFont="1" applyNumberFormat="1">
      <alignment horizontal="center" shrinkToFit="0" vertical="center" wrapText="1"/>
    </xf>
    <xf borderId="5" fillId="7" fontId="2" numFmtId="168" xfId="0" applyAlignment="1" applyBorder="1" applyFill="1" applyFont="1" applyNumberFormat="1">
      <alignment horizontal="center" shrinkToFit="0" vertical="center" wrapText="1"/>
    </xf>
    <xf borderId="5" fillId="7" fontId="1" numFmtId="168" xfId="0" applyAlignment="1" applyBorder="1" applyFill="1" applyFont="1" applyNumberFormat="1">
      <alignment horizontal="center" vertical="center"/>
    </xf>
    <xf borderId="5" fillId="7" fontId="1" numFmtId="0" xfId="0" applyAlignment="1" applyBorder="1" applyFill="1" applyFont="1">
      <alignment horizontal="center" readingOrder="0" vertical="center"/>
    </xf>
    <xf borderId="5" fillId="7" fontId="3" numFmtId="169" xfId="0" applyAlignment="1" applyBorder="1" applyFill="1" applyFont="1" applyNumberFormat="1">
      <alignment horizontal="center" shrinkToFit="0" vertical="center" wrapText="1"/>
    </xf>
    <xf borderId="5" fillId="7" fontId="2" numFmtId="169" xfId="0" applyAlignment="1" applyBorder="1" applyFill="1" applyFont="1" applyNumberFormat="1">
      <alignment horizontal="center" readingOrder="0" shrinkToFit="0" vertical="center" wrapText="1"/>
    </xf>
    <xf borderId="5" fillId="7" fontId="2" numFmtId="165" xfId="0" applyAlignment="1" applyBorder="1" applyFill="1" applyFont="1" applyNumberFormat="1">
      <alignment horizontal="center" shrinkToFit="0" vertical="center" wrapText="1"/>
    </xf>
    <xf borderId="5" fillId="7" fontId="2" numFmtId="1" xfId="0" applyAlignment="1" applyBorder="1" applyFill="1" applyFont="1" applyNumberFormat="1">
      <alignment horizontal="center" shrinkToFit="0" vertical="center" wrapText="1"/>
    </xf>
    <xf borderId="5" fillId="4" fontId="2" numFmtId="0" xfId="0" applyAlignment="1" applyBorder="1" applyFill="1" applyFont="1">
      <alignment horizontal="center" readingOrder="0" vertical="center"/>
    </xf>
    <xf borderId="5" fillId="5" fontId="2" numFmtId="0" xfId="0" applyAlignment="1" applyBorder="1" applyFill="1" applyFont="1">
      <alignment horizontal="center" readingOrder="0" vertical="center"/>
    </xf>
    <xf borderId="5" fillId="7" fontId="1" numFmtId="9" xfId="0" applyAlignment="1" applyBorder="1" applyFill="1" applyFont="1" applyNumberFormat="1">
      <alignment horizontal="center" vertical="center"/>
    </xf>
    <xf borderId="5" fillId="7" fontId="2" numFmtId="0" xfId="0" applyAlignment="1" applyBorder="1" applyFill="1" applyFont="1">
      <alignment horizontal="center" readingOrder="0" shrinkToFit="0" wrapText="1"/>
    </xf>
    <xf borderId="5" fillId="7" fontId="2" numFmtId="167" xfId="0" applyAlignment="1" applyBorder="1" applyFill="1" applyFont="1" applyNumberFormat="1">
      <alignment horizontal="center" shrinkToFit="0" wrapText="1"/>
    </xf>
    <xf borderId="0" fillId="7" fontId="2" numFmtId="0" xfId="0" applyAlignment="1" applyFill="1" applyFont="1">
      <alignment horizontal="center" readingOrder="0" shrinkToFit="0" wrapText="1"/>
    </xf>
    <xf borderId="0" fillId="7" fontId="2" numFmtId="0" xfId="0" applyAlignment="1" applyFill="1" applyFont="1">
      <alignment horizontal="center" readingOrder="0" shrinkToFit="0" wrapText="1"/>
    </xf>
    <xf borderId="5" fillId="7" fontId="2" numFmtId="168" xfId="0" applyAlignment="1" applyBorder="1" applyFill="1" applyFont="1" applyNumberFormat="1">
      <alignment horizontal="center" shrinkToFit="0" wrapText="1"/>
    </xf>
    <xf borderId="5" fillId="7" fontId="2" numFmtId="169" xfId="0" applyAlignment="1" applyBorder="1" applyFill="1" applyFont="1" applyNumberFormat="1">
      <alignment horizontal="center" shrinkToFit="0" wrapText="1"/>
    </xf>
    <xf borderId="0" fillId="7" fontId="2" numFmtId="169" xfId="0" applyAlignment="1" applyFill="1" applyFont="1" applyNumberFormat="1">
      <alignment horizontal="center" shrinkToFit="0" vertical="center" wrapText="1"/>
    </xf>
    <xf borderId="5" fillId="7" fontId="2" numFmtId="165" xfId="0" applyAlignment="1" applyBorder="1" applyFill="1" applyFont="1" applyNumberFormat="1">
      <alignment horizontal="center" readingOrder="0" shrinkToFit="0" vertical="center" wrapText="1"/>
    </xf>
    <xf borderId="0" fillId="0" fontId="2" numFmtId="0" xfId="0" applyAlignment="1" applyFont="1">
      <alignment horizontal="center" readingOrder="0" vertical="center"/>
    </xf>
    <xf borderId="5" fillId="0" fontId="2" numFmtId="0" xfId="0" applyAlignment="1" applyBorder="1" applyFont="1">
      <alignment horizontal="center" readingOrder="0" vertical="center"/>
    </xf>
    <xf borderId="5" fillId="0" fontId="2"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5" fillId="0" fontId="2" numFmtId="1" xfId="0" applyAlignment="1" applyBorder="1" applyFont="1" applyNumberFormat="1">
      <alignment horizontal="center" readingOrder="0" shrinkToFit="0" vertical="center" wrapText="1"/>
    </xf>
    <xf borderId="5" fillId="0" fontId="1" numFmtId="3" xfId="0" applyAlignment="1" applyBorder="1" applyFont="1" applyNumberFormat="1">
      <alignment horizontal="center" readingOrder="0" vertical="center"/>
    </xf>
    <xf borderId="5" fillId="0" fontId="2" numFmtId="0" xfId="0" applyAlignment="1" applyBorder="1" applyFont="1">
      <alignment horizontal="center" vertical="center"/>
    </xf>
    <xf borderId="5" fillId="0" fontId="2" numFmtId="164" xfId="0" applyAlignment="1" applyBorder="1" applyFont="1" applyNumberFormat="1">
      <alignment horizontal="center" readingOrder="0" shrinkToFit="0" vertical="center" wrapText="1"/>
    </xf>
    <xf borderId="5" fillId="0" fontId="2" numFmtId="168" xfId="0" applyAlignment="1" applyBorder="1" applyFont="1" applyNumberFormat="1">
      <alignment horizontal="center" readingOrder="0" shrinkToFit="0" vertical="center" wrapText="1"/>
    </xf>
    <xf borderId="5" fillId="0" fontId="1" numFmtId="168" xfId="0" applyAlignment="1" applyBorder="1" applyFont="1" applyNumberFormat="1">
      <alignment horizontal="center" shrinkToFit="0" vertical="center" wrapText="1"/>
    </xf>
    <xf borderId="5" fillId="0" fontId="2" numFmtId="168" xfId="0" applyAlignment="1" applyBorder="1" applyFont="1" applyNumberFormat="1">
      <alignment horizontal="center" shrinkToFit="0" vertical="center" wrapText="1"/>
    </xf>
    <xf borderId="5" fillId="0" fontId="1" numFmtId="168" xfId="0" applyAlignment="1" applyBorder="1" applyFont="1" applyNumberFormat="1">
      <alignment horizontal="center" vertical="center"/>
    </xf>
    <xf borderId="5" fillId="0" fontId="1" numFmtId="0" xfId="0" applyAlignment="1" applyBorder="1" applyFont="1">
      <alignment horizontal="center" readingOrder="0" vertical="center"/>
    </xf>
    <xf borderId="5" fillId="0" fontId="3" numFmtId="169" xfId="0" applyAlignment="1" applyBorder="1" applyFont="1" applyNumberFormat="1">
      <alignment horizontal="center" shrinkToFit="0" vertical="center" wrapText="1"/>
    </xf>
    <xf borderId="5" fillId="0" fontId="2" numFmtId="169" xfId="0" applyAlignment="1" applyBorder="1" applyFont="1" applyNumberFormat="1">
      <alignment horizontal="center" readingOrder="0" shrinkToFit="0" vertical="center" wrapText="1"/>
    </xf>
    <xf borderId="5" fillId="0" fontId="2" numFmtId="165" xfId="0" applyAlignment="1" applyBorder="1" applyFont="1" applyNumberFormat="1">
      <alignment horizontal="center" readingOrder="0" shrinkToFit="0" vertical="center" wrapText="1"/>
    </xf>
    <xf borderId="5" fillId="0" fontId="2" numFmtId="1" xfId="0" applyAlignment="1" applyBorder="1" applyFont="1" applyNumberFormat="1">
      <alignment horizontal="center" shrinkToFit="0" vertical="center" wrapText="1"/>
    </xf>
    <xf borderId="5" fillId="5" fontId="4" numFmtId="0" xfId="0" applyAlignment="1" applyBorder="1" applyFill="1" applyFont="1">
      <alignment horizontal="center" readingOrder="0" vertical="center"/>
    </xf>
    <xf borderId="5" fillId="5" fontId="5" numFmtId="0" xfId="0" applyAlignment="1" applyBorder="1" applyFill="1" applyFont="1">
      <alignment horizontal="center" readingOrder="0" vertical="center"/>
    </xf>
    <xf borderId="5" fillId="4" fontId="5" numFmtId="0" xfId="0" applyAlignment="1" applyBorder="1" applyFill="1" applyFont="1">
      <alignment horizontal="center" readingOrder="0" vertical="center"/>
    </xf>
    <xf borderId="5" fillId="4" fontId="2" numFmtId="0" xfId="0" applyAlignment="1" applyBorder="1" applyFill="1" applyFont="1">
      <alignment horizontal="center" vertical="center"/>
    </xf>
    <xf borderId="5" fillId="4" fontId="1" numFmtId="166" xfId="0" applyAlignment="1" applyBorder="1" applyFill="1" applyFont="1" applyNumberFormat="1">
      <alignment horizontal="center" readingOrder="0" vertical="center"/>
    </xf>
    <xf borderId="5" fillId="0" fontId="1" numFmtId="166" xfId="0" applyAlignment="1" applyBorder="1" applyFont="1" applyNumberFormat="1">
      <alignment horizontal="center" readingOrder="0" vertical="center"/>
    </xf>
    <xf borderId="0" fillId="8" fontId="5" numFmtId="0" xfId="0" applyAlignment="1" applyFill="1" applyFont="1">
      <alignment horizontal="center" readingOrder="0" shrinkToFit="0" vertical="center" wrapText="1"/>
    </xf>
    <xf borderId="5" fillId="0" fontId="2" numFmtId="0" xfId="0" applyAlignment="1" applyBorder="1" applyFont="1">
      <alignment horizontal="center" shrinkToFit="0" wrapText="1"/>
    </xf>
    <xf borderId="5" fillId="0" fontId="2" numFmtId="167" xfId="0" applyAlignment="1" applyBorder="1" applyFont="1" applyNumberFormat="1">
      <alignment horizontal="center" shrinkToFit="0" wrapText="1"/>
    </xf>
    <xf borderId="0" fillId="0" fontId="2" numFmtId="0" xfId="0" applyAlignment="1" applyFont="1">
      <alignment horizontal="center" shrinkToFit="0" wrapText="1"/>
    </xf>
    <xf borderId="5" fillId="0" fontId="2" numFmtId="168" xfId="0" applyAlignment="1" applyBorder="1" applyFont="1" applyNumberFormat="1">
      <alignment horizontal="center" shrinkToFit="0" wrapText="1"/>
    </xf>
    <xf borderId="0" fillId="0" fontId="2" numFmtId="169" xfId="0" applyAlignment="1" applyFont="1" applyNumberFormat="1">
      <alignment horizontal="center" shrinkToFit="0" vertical="center" wrapText="1"/>
    </xf>
    <xf borderId="0" fillId="9" fontId="5" numFmtId="0" xfId="0" applyAlignment="1" applyFill="1" applyFont="1">
      <alignment horizontal="center" readingOrder="0" shrinkToFit="0" vertical="center" wrapText="1"/>
    </xf>
    <xf borderId="5" fillId="7" fontId="2" numFmtId="0" xfId="0" applyAlignment="1" applyBorder="1" applyFill="1" applyFont="1">
      <alignment horizontal="center" shrinkToFit="0" vertical="center" wrapText="1"/>
    </xf>
    <xf borderId="5" fillId="7" fontId="6" numFmtId="3" xfId="0" applyAlignment="1" applyBorder="1" applyFill="1" applyFont="1" applyNumberFormat="1">
      <alignment horizontal="center" readingOrder="0" vertical="center"/>
    </xf>
    <xf borderId="6" fillId="7" fontId="2" numFmtId="164" xfId="0" applyAlignment="1" applyBorder="1" applyFill="1" applyFont="1" applyNumberFormat="1">
      <alignment horizontal="center" readingOrder="0" shrinkToFit="0" vertical="center" wrapText="1"/>
    </xf>
    <xf borderId="6" fillId="7" fontId="1" numFmtId="0" xfId="0" applyAlignment="1" applyBorder="1" applyFill="1" applyFont="1">
      <alignment horizontal="center" readingOrder="0" shrinkToFit="0" vertical="center" wrapText="1"/>
    </xf>
    <xf borderId="5" fillId="7" fontId="3" numFmtId="14" xfId="0" applyAlignment="1" applyBorder="1" applyFill="1" applyFont="1" applyNumberFormat="1">
      <alignment horizontal="center" vertical="center"/>
    </xf>
    <xf borderId="5" fillId="7" fontId="2" numFmtId="14" xfId="0" applyAlignment="1" applyBorder="1" applyFill="1" applyFont="1" applyNumberFormat="1">
      <alignment horizontal="center" readingOrder="0" vertical="center"/>
    </xf>
    <xf borderId="5" fillId="4" fontId="2" numFmtId="3" xfId="0" applyAlignment="1" applyBorder="1" applyFill="1" applyFont="1" applyNumberFormat="1">
      <alignment horizontal="center" readingOrder="0" vertical="center"/>
    </xf>
    <xf borderId="5" fillId="5" fontId="1" numFmtId="3" xfId="0" applyAlignment="1" applyBorder="1" applyFill="1" applyFont="1" applyNumberFormat="1">
      <alignment horizontal="center" readingOrder="0" vertical="center"/>
    </xf>
    <xf borderId="5" fillId="4" fontId="2" numFmtId="3" xfId="0" applyAlignment="1" applyBorder="1" applyFill="1" applyFont="1" applyNumberFormat="1">
      <alignment horizontal="center" vertical="center"/>
    </xf>
    <xf borderId="5" fillId="7" fontId="2" numFmtId="164" xfId="0" applyAlignment="1" applyBorder="1" applyFill="1" applyFont="1" applyNumberFormat="1">
      <alignment horizontal="center" shrinkToFit="0" vertical="center" wrapText="1"/>
    </xf>
    <xf borderId="5" fillId="7" fontId="1" numFmtId="166" xfId="0" applyAlignment="1" applyBorder="1" applyFill="1" applyFont="1" applyNumberFormat="1">
      <alignment horizontal="center" vertical="center"/>
    </xf>
    <xf borderId="5" fillId="7" fontId="2" numFmtId="0" xfId="0" applyAlignment="1" applyBorder="1" applyFill="1" applyFont="1">
      <alignment horizontal="center" shrinkToFit="0" wrapText="1"/>
    </xf>
    <xf borderId="0" fillId="7" fontId="2" numFmtId="0" xfId="0" applyAlignment="1" applyFill="1" applyFont="1">
      <alignment horizontal="center" shrinkToFit="0" wrapText="1"/>
    </xf>
    <xf borderId="0" fillId="7" fontId="7" numFmtId="0" xfId="0" applyFill="1" applyFont="1"/>
    <xf borderId="5" fillId="7" fontId="1" numFmtId="0" xfId="0" applyAlignment="1" applyBorder="1" applyFill="1" applyFont="1">
      <alignment horizontal="center" shrinkToFit="0" vertical="center" wrapText="1"/>
    </xf>
    <xf borderId="5" fillId="4" fontId="5" numFmtId="3" xfId="0" applyAlignment="1" applyBorder="1" applyFill="1" applyFont="1" applyNumberFormat="1">
      <alignment horizontal="center" readingOrder="0" vertical="center"/>
    </xf>
    <xf borderId="5" fillId="7" fontId="1" numFmtId="166" xfId="0" applyAlignment="1" applyBorder="1" applyFill="1" applyFont="1" applyNumberFormat="1">
      <alignment horizontal="center" readingOrder="0" vertical="center"/>
    </xf>
    <xf borderId="0" fillId="7" fontId="5" numFmtId="0" xfId="0" applyAlignment="1" applyFill="1" applyFont="1">
      <alignment horizontal="center" readingOrder="0" shrinkToFit="0" vertical="center" wrapText="1"/>
    </xf>
    <xf borderId="0" fillId="7" fontId="2" numFmtId="169" xfId="0" applyAlignment="1" applyFill="1" applyFont="1" applyNumberFormat="1">
      <alignment horizontal="center" shrinkToFit="0" wrapText="1"/>
    </xf>
    <xf borderId="0" fillId="7" fontId="2" numFmtId="0" xfId="0" applyAlignment="1" applyFill="1" applyFont="1">
      <alignment horizontal="center" vertical="center"/>
    </xf>
    <xf borderId="6" fillId="0" fontId="1" numFmtId="3" xfId="0" applyAlignment="1" applyBorder="1" applyFont="1" applyNumberFormat="1">
      <alignment horizontal="center" readingOrder="0" vertical="center"/>
    </xf>
    <xf borderId="5" fillId="8" fontId="5" numFmtId="0" xfId="0" applyAlignment="1" applyBorder="1" applyFill="1" applyFont="1">
      <alignment horizontal="center" readingOrder="0" shrinkToFit="0" vertical="center" wrapText="1"/>
    </xf>
    <xf borderId="0" fillId="7" fontId="2" numFmtId="168" xfId="0" applyAlignment="1" applyFill="1" applyFont="1" applyNumberFormat="1">
      <alignment horizontal="center" shrinkToFit="0" wrapText="1"/>
    </xf>
    <xf borderId="0" fillId="7" fontId="2" numFmtId="0" xfId="0" applyAlignment="1" applyFill="1" applyFont="1">
      <alignment horizontal="center" readingOrder="0" shrinkToFit="0" vertical="center" wrapText="1"/>
    </xf>
    <xf borderId="5" fillId="7" fontId="1" numFmtId="3" xfId="0" applyAlignment="1" applyBorder="1" applyFill="1" applyFont="1" applyNumberFormat="1">
      <alignment horizontal="center" vertical="center"/>
    </xf>
    <xf borderId="6" fillId="7" fontId="2" numFmtId="164" xfId="0" applyAlignment="1" applyBorder="1" applyFill="1" applyFont="1" applyNumberFormat="1">
      <alignment horizontal="center" shrinkToFit="0" vertical="center" wrapText="1"/>
    </xf>
    <xf borderId="5" fillId="7" fontId="6" numFmtId="166" xfId="0" applyAlignment="1" applyBorder="1" applyFill="1" applyFont="1" applyNumberFormat="1">
      <alignment horizontal="center" vertical="center"/>
    </xf>
    <xf borderId="0" fillId="8" fontId="5" numFmtId="0" xfId="0" applyAlignment="1" applyFill="1" applyFont="1">
      <alignment horizontal="center" readingOrder="0" shrinkToFit="0" vertical="center" wrapText="1"/>
    </xf>
    <xf borderId="5" fillId="7" fontId="2" numFmtId="0" xfId="0" applyAlignment="1" applyBorder="1" applyFill="1" applyFont="1">
      <alignment horizontal="center"/>
    </xf>
    <xf borderId="0" fillId="8" fontId="7" numFmtId="0" xfId="0" applyAlignment="1" applyFill="1" applyFont="1">
      <alignment readingOrder="0" shrinkToFit="0" vertical="center" wrapText="1"/>
    </xf>
    <xf borderId="5" fillId="7" fontId="6" numFmtId="10" xfId="0" applyAlignment="1" applyBorder="1" applyFill="1" applyFont="1" applyNumberFormat="1">
      <alignment horizontal="center" vertical="center"/>
    </xf>
    <xf borderId="5" fillId="7" fontId="5" numFmtId="0" xfId="0" applyAlignment="1" applyBorder="1" applyFill="1" applyFont="1">
      <alignment horizontal="center" readingOrder="0" shrinkToFit="0" vertical="center" wrapText="1"/>
    </xf>
    <xf borderId="0" fillId="7" fontId="2" numFmtId="0" xfId="0" applyAlignment="1" applyFill="1" applyFont="1">
      <alignment horizontal="center"/>
    </xf>
    <xf borderId="6" fillId="0" fontId="2" numFmtId="164" xfId="0" applyAlignment="1" applyBorder="1" applyFont="1" applyNumberFormat="1">
      <alignment horizontal="center" readingOrder="0" shrinkToFit="0" vertical="center" wrapText="1"/>
    </xf>
    <xf borderId="6" fillId="0" fontId="2" numFmtId="168" xfId="0" applyAlignment="1" applyBorder="1" applyFont="1" applyNumberFormat="1">
      <alignment horizontal="center" readingOrder="0" shrinkToFit="0" vertical="center" wrapText="1"/>
    </xf>
    <xf borderId="5" fillId="0" fontId="1" numFmtId="166" xfId="0" applyAlignment="1" applyBorder="1" applyFont="1" applyNumberFormat="1">
      <alignment horizontal="center" vertical="center"/>
    </xf>
    <xf borderId="0" fillId="10" fontId="5" numFmtId="0" xfId="0" applyAlignment="1" applyFill="1" applyFont="1">
      <alignment horizontal="center" readingOrder="0" shrinkToFit="0" vertical="center" wrapText="1"/>
    </xf>
    <xf borderId="5" fillId="0" fontId="2" numFmtId="169" xfId="0" applyAlignment="1" applyBorder="1" applyFont="1" applyNumberFormat="1">
      <alignment horizontal="center" shrinkToFit="0" wrapText="1"/>
    </xf>
    <xf borderId="0" fillId="0" fontId="2" numFmtId="0" xfId="0" applyAlignment="1" applyFont="1">
      <alignment horizontal="center" readingOrder="0" shrinkToFit="0" vertical="center" wrapText="1"/>
    </xf>
    <xf borderId="5" fillId="8" fontId="2" numFmtId="0" xfId="0" applyAlignment="1" applyBorder="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7" fillId="7" fontId="1" numFmtId="0" xfId="0" applyAlignment="1" applyBorder="1" applyFill="1" applyFont="1">
      <alignment horizontal="center" shrinkToFit="0" vertical="center" wrapText="1"/>
    </xf>
    <xf borderId="5" fillId="7" fontId="1" numFmtId="3" xfId="0" applyAlignment="1" applyBorder="1" applyFill="1" applyFont="1" applyNumberFormat="1">
      <alignment horizontal="center" shrinkToFit="0" vertical="center" wrapText="1"/>
    </xf>
    <xf borderId="5" fillId="7" fontId="3" numFmtId="14" xfId="0" applyAlignment="1" applyBorder="1" applyFill="1" applyFont="1" applyNumberFormat="1">
      <alignment horizontal="center" shrinkToFit="0" vertical="center" wrapText="1"/>
    </xf>
    <xf borderId="5" fillId="7" fontId="2" numFmtId="14" xfId="0" applyAlignment="1" applyBorder="1" applyFill="1" applyFont="1" applyNumberFormat="1">
      <alignment horizontal="center" shrinkToFit="0" vertical="center" wrapText="1"/>
    </xf>
    <xf borderId="5" fillId="7" fontId="1" numFmtId="3" xfId="0" applyAlignment="1" applyBorder="1" applyFill="1" applyFont="1" applyNumberFormat="1">
      <alignment horizontal="center" readingOrder="0" shrinkToFit="0" vertical="center" wrapText="1"/>
    </xf>
    <xf borderId="5" fillId="5" fontId="1" numFmtId="3" xfId="0" applyAlignment="1" applyBorder="1" applyFill="1" applyFont="1" applyNumberFormat="1">
      <alignment horizontal="center" shrinkToFit="0" vertical="center" wrapText="1"/>
    </xf>
    <xf borderId="5" fillId="7" fontId="1" numFmtId="166" xfId="0" applyAlignment="1" applyBorder="1" applyFill="1" applyFont="1" applyNumberFormat="1">
      <alignment horizontal="center" shrinkToFit="0" vertical="center" wrapText="1"/>
    </xf>
    <xf borderId="5" fillId="7" fontId="2" numFmtId="0" xfId="0" applyAlignment="1" applyBorder="1" applyFill="1" applyFont="1">
      <alignment horizontal="center" shrinkToFit="0" vertical="center" wrapText="1"/>
    </xf>
    <xf borderId="5" fillId="7" fontId="2" numFmtId="167" xfId="0" applyAlignment="1" applyBorder="1" applyFill="1" applyFont="1" applyNumberFormat="1">
      <alignment horizontal="center" shrinkToFit="0" vertical="center" wrapText="1"/>
    </xf>
    <xf borderId="0" fillId="7" fontId="2" numFmtId="0" xfId="0" applyAlignment="1" applyFill="1" applyFont="1">
      <alignment horizontal="center" shrinkToFit="0" vertical="center" wrapText="1"/>
    </xf>
    <xf borderId="0" fillId="7" fontId="2" numFmtId="0" xfId="0" applyAlignment="1" applyFill="1" applyFont="1">
      <alignment horizontal="center" shrinkToFit="0" vertical="center" wrapText="1"/>
    </xf>
    <xf borderId="5" fillId="7" fontId="1" numFmtId="0" xfId="0" applyAlignment="1" applyBorder="1" applyFill="1" applyFont="1">
      <alignment horizontal="center" readingOrder="0" shrinkToFit="0" vertical="center" wrapText="1"/>
    </xf>
    <xf borderId="5" fillId="7" fontId="2" numFmtId="14" xfId="0" applyAlignment="1" applyBorder="1" applyFill="1" applyFont="1" applyNumberFormat="1">
      <alignment horizontal="center" vertical="center"/>
    </xf>
    <xf borderId="5" fillId="5" fontId="1" numFmtId="3" xfId="0" applyAlignment="1" applyBorder="1" applyFill="1" applyFont="1" applyNumberFormat="1">
      <alignment horizontal="center" vertical="center"/>
    </xf>
    <xf borderId="6" fillId="7" fontId="2" numFmtId="168" xfId="0" applyAlignment="1" applyBorder="1" applyFill="1" applyFont="1" applyNumberFormat="1">
      <alignment horizontal="center" readingOrder="0" shrinkToFit="0" vertical="center" wrapText="1"/>
    </xf>
    <xf borderId="5" fillId="7" fontId="5" numFmtId="0" xfId="0" applyAlignment="1" applyBorder="1" applyFill="1" applyFont="1">
      <alignment horizontal="center" readingOrder="0" vertical="center"/>
    </xf>
    <xf borderId="5" fillId="4" fontId="1" numFmtId="3" xfId="0" applyAlignment="1" applyBorder="1" applyFill="1" applyFont="1" applyNumberFormat="1">
      <alignment horizontal="center" readingOrder="0" vertical="center"/>
    </xf>
    <xf borderId="5" fillId="7" fontId="5" numFmtId="0" xfId="0" applyAlignment="1" applyBorder="1" applyFill="1" applyFont="1">
      <alignment horizontal="center" vertical="center"/>
    </xf>
    <xf borderId="5" fillId="7" fontId="6" numFmtId="166" xfId="0" applyAlignment="1" applyBorder="1" applyFill="1" applyFont="1" applyNumberFormat="1">
      <alignment horizontal="center" readingOrder="0" vertical="center"/>
    </xf>
    <xf borderId="0" fillId="8" fontId="2" numFmtId="0" xfId="0" applyAlignment="1" applyFill="1" applyFont="1">
      <alignment horizontal="center" readingOrder="0" shrinkToFit="0" vertical="center" wrapText="1"/>
    </xf>
    <xf borderId="0" fillId="7" fontId="5" numFmtId="0" xfId="0" applyAlignment="1" applyFill="1" applyFont="1">
      <alignment horizontal="center" readingOrder="0" vertical="center"/>
    </xf>
    <xf borderId="5" fillId="7" fontId="5" numFmtId="0" xfId="0" applyAlignment="1" applyBorder="1" applyFill="1" applyFont="1">
      <alignment horizontal="center" shrinkToFit="0" vertical="center" wrapText="1"/>
    </xf>
    <xf borderId="7" fillId="7" fontId="6" numFmtId="0" xfId="0" applyAlignment="1" applyBorder="1" applyFill="1" applyFont="1">
      <alignment horizontal="center" readingOrder="0" shrinkToFit="0" vertical="center" wrapText="1"/>
    </xf>
    <xf borderId="6" fillId="7" fontId="5" numFmtId="164" xfId="0" applyAlignment="1" applyBorder="1" applyFill="1" applyFont="1" applyNumberFormat="1">
      <alignment horizontal="center" readingOrder="0" shrinkToFit="0" vertical="center" wrapText="1"/>
    </xf>
    <xf borderId="5" fillId="7" fontId="6" numFmtId="168" xfId="0" applyAlignment="1" applyBorder="1" applyFill="1" applyFont="1" applyNumberFormat="1">
      <alignment horizontal="center" shrinkToFit="0" vertical="center" wrapText="1"/>
    </xf>
    <xf borderId="5" fillId="7" fontId="5" numFmtId="168" xfId="0" applyAlignment="1" applyBorder="1" applyFill="1" applyFont="1" applyNumberFormat="1">
      <alignment horizontal="center" shrinkToFit="0" vertical="center" wrapText="1"/>
    </xf>
    <xf borderId="5" fillId="7" fontId="6" numFmtId="168" xfId="0" applyAlignment="1" applyBorder="1" applyFill="1" applyFont="1" applyNumberFormat="1">
      <alignment horizontal="center" vertical="center"/>
    </xf>
    <xf borderId="5" fillId="7" fontId="6" numFmtId="0" xfId="0" applyAlignment="1" applyBorder="1" applyFill="1" applyFont="1">
      <alignment horizontal="center" shrinkToFit="0" vertical="center" wrapText="1"/>
    </xf>
    <xf borderId="5" fillId="7" fontId="5" numFmtId="14" xfId="0" applyAlignment="1" applyBorder="1" applyFill="1" applyFont="1" applyNumberFormat="1">
      <alignment horizontal="center" vertical="center"/>
    </xf>
    <xf borderId="5" fillId="7" fontId="5" numFmtId="14" xfId="0" applyAlignment="1" applyBorder="1" applyFill="1" applyFont="1" applyNumberFormat="1">
      <alignment horizontal="center" readingOrder="0" vertical="center"/>
    </xf>
    <xf borderId="5" fillId="7" fontId="5" numFmtId="165" xfId="0" applyAlignment="1" applyBorder="1" applyFill="1" applyFont="1" applyNumberFormat="1">
      <alignment horizontal="center" readingOrder="0" shrinkToFit="0" vertical="center" wrapText="1"/>
    </xf>
    <xf borderId="5" fillId="7" fontId="5" numFmtId="1" xfId="0" applyAlignment="1" applyBorder="1" applyFill="1" applyFont="1" applyNumberFormat="1">
      <alignment horizontal="center" shrinkToFit="0" vertical="center" wrapText="1"/>
    </xf>
    <xf borderId="5" fillId="5" fontId="6" numFmtId="3" xfId="0" applyAlignment="1" applyBorder="1" applyFill="1" applyFont="1" applyNumberFormat="1">
      <alignment horizontal="center" readingOrder="0" vertical="center"/>
    </xf>
    <xf borderId="5" fillId="7" fontId="5" numFmtId="0" xfId="0" applyAlignment="1" applyBorder="1" applyFill="1" applyFont="1">
      <alignment horizontal="center" shrinkToFit="0" wrapText="1"/>
    </xf>
    <xf borderId="5" fillId="7" fontId="5" numFmtId="167" xfId="0" applyAlignment="1" applyBorder="1" applyFill="1" applyFont="1" applyNumberFormat="1">
      <alignment horizontal="center" shrinkToFit="0" wrapText="1"/>
    </xf>
    <xf borderId="0" fillId="7" fontId="5" numFmtId="0" xfId="0" applyAlignment="1" applyFill="1" applyFont="1">
      <alignment horizontal="center" shrinkToFit="0" wrapText="1"/>
    </xf>
    <xf borderId="5" fillId="7" fontId="5" numFmtId="0" xfId="0" applyAlignment="1" applyBorder="1" applyFill="1" applyFont="1">
      <alignment horizontal="center"/>
    </xf>
    <xf borderId="0" fillId="7" fontId="5" numFmtId="0" xfId="0" applyAlignment="1" applyFill="1" applyFont="1">
      <alignment horizontal="center" vertical="center"/>
    </xf>
    <xf borderId="0" fillId="7" fontId="5" numFmtId="169" xfId="0" applyAlignment="1" applyFill="1" applyFont="1" applyNumberFormat="1">
      <alignment horizontal="center" shrinkToFit="0" vertical="center" wrapText="1"/>
    </xf>
    <xf borderId="6" fillId="7" fontId="2" numFmtId="1" xfId="0" applyAlignment="1" applyBorder="1" applyFill="1" applyFont="1" applyNumberFormat="1">
      <alignment horizontal="center" readingOrder="0" shrinkToFit="0" vertical="center" wrapText="1"/>
    </xf>
    <xf borderId="6" fillId="7" fontId="1" numFmtId="3" xfId="0" applyAlignment="1" applyBorder="1" applyFill="1" applyFont="1" applyNumberFormat="1">
      <alignment horizontal="center" vertical="center"/>
    </xf>
    <xf borderId="6" fillId="7" fontId="2" numFmtId="0" xfId="0" applyAlignment="1" applyBorder="1" applyFill="1" applyFont="1">
      <alignment horizontal="center" vertical="center"/>
    </xf>
    <xf borderId="6" fillId="7" fontId="1" numFmtId="168" xfId="0" applyAlignment="1" applyBorder="1" applyFill="1" applyFont="1" applyNumberFormat="1">
      <alignment horizontal="center" shrinkToFit="0" vertical="center" wrapText="1"/>
    </xf>
    <xf borderId="6" fillId="7" fontId="2" numFmtId="168" xfId="0" applyAlignment="1" applyBorder="1" applyFill="1" applyFont="1" applyNumberFormat="1">
      <alignment horizontal="center" shrinkToFit="0" vertical="center" wrapText="1"/>
    </xf>
    <xf borderId="6" fillId="7" fontId="1" numFmtId="168" xfId="0" applyAlignment="1" applyBorder="1" applyFill="1" applyFont="1" applyNumberFormat="1">
      <alignment horizontal="center" vertical="center"/>
    </xf>
    <xf borderId="6" fillId="7" fontId="1" numFmtId="0" xfId="0" applyAlignment="1" applyBorder="1" applyFill="1" applyFont="1">
      <alignment horizontal="center" readingOrder="0" vertical="center"/>
    </xf>
    <xf borderId="6" fillId="7" fontId="3" numFmtId="169" xfId="0" applyAlignment="1" applyBorder="1" applyFill="1" applyFont="1" applyNumberFormat="1">
      <alignment horizontal="center" shrinkToFit="0" vertical="center" wrapText="1"/>
    </xf>
    <xf borderId="6" fillId="7" fontId="2" numFmtId="169" xfId="0" applyAlignment="1" applyBorder="1" applyFill="1" applyFont="1" applyNumberFormat="1">
      <alignment horizontal="center" readingOrder="0" shrinkToFit="0" vertical="center" wrapText="1"/>
    </xf>
    <xf borderId="6" fillId="7" fontId="2" numFmtId="165" xfId="0" applyAlignment="1" applyBorder="1" applyFill="1" applyFont="1" applyNumberFormat="1">
      <alignment horizontal="center" shrinkToFit="0" vertical="center" wrapText="1"/>
    </xf>
    <xf borderId="6" fillId="7" fontId="2" numFmtId="1" xfId="0" applyAlignment="1" applyBorder="1" applyFill="1" applyFont="1" applyNumberFormat="1">
      <alignment horizontal="center" shrinkToFit="0" vertical="center" wrapText="1"/>
    </xf>
    <xf borderId="6" fillId="7" fontId="1" numFmtId="166" xfId="0" applyAlignment="1" applyBorder="1" applyFill="1" applyFont="1" applyNumberFormat="1">
      <alignment horizontal="center" vertical="center"/>
    </xf>
    <xf borderId="6" fillId="7" fontId="2" numFmtId="0" xfId="0" applyAlignment="1" applyBorder="1" applyFill="1" applyFont="1">
      <alignment horizontal="center" shrinkToFit="0" vertical="center" wrapText="1"/>
    </xf>
    <xf borderId="6" fillId="7" fontId="1" numFmtId="3" xfId="0" applyAlignment="1" applyBorder="1" applyFill="1" applyFont="1" applyNumberFormat="1">
      <alignment horizontal="center" readingOrder="0" vertical="center"/>
    </xf>
    <xf borderId="6" fillId="7" fontId="1" numFmtId="0" xfId="0" applyAlignment="1" applyBorder="1" applyFill="1" applyFont="1">
      <alignment horizontal="center" shrinkToFit="0" vertical="center" wrapText="1"/>
    </xf>
    <xf borderId="6" fillId="7" fontId="3" numFmtId="14" xfId="0" applyAlignment="1" applyBorder="1" applyFill="1" applyFont="1" applyNumberFormat="1">
      <alignment horizontal="center" vertical="center"/>
    </xf>
    <xf borderId="6" fillId="7" fontId="2" numFmtId="14" xfId="0" applyAlignment="1" applyBorder="1" applyFill="1" applyFont="1" applyNumberFormat="1">
      <alignment horizontal="center" readingOrder="0" vertical="center"/>
    </xf>
    <xf borderId="6" fillId="7" fontId="2" numFmtId="165" xfId="0" applyAlignment="1" applyBorder="1" applyFill="1" applyFont="1" applyNumberFormat="1">
      <alignment horizontal="center" readingOrder="0" shrinkToFit="0" vertical="center" wrapText="1"/>
    </xf>
    <xf borderId="6" fillId="5" fontId="1" numFmtId="3" xfId="0" applyAlignment="1" applyBorder="1" applyFill="1" applyFont="1" applyNumberFormat="1">
      <alignment horizontal="center" readingOrder="0" vertical="center"/>
    </xf>
    <xf borderId="6" fillId="8" fontId="2" numFmtId="0" xfId="0" applyAlignment="1" applyBorder="1" applyFill="1" applyFont="1">
      <alignment horizontal="center" readingOrder="0" shrinkToFit="0" vertical="center" wrapText="1"/>
    </xf>
    <xf borderId="6" fillId="7" fontId="7" numFmtId="0" xfId="0" applyAlignment="1" applyBorder="1" applyFill="1" applyFont="1">
      <alignment readingOrder="0"/>
    </xf>
    <xf borderId="0" fillId="9" fontId="5" numFmtId="0" xfId="0" applyAlignment="1" applyFill="1" applyFont="1">
      <alignment horizontal="center" readingOrder="0" shrinkToFit="0" vertical="center" wrapText="1"/>
    </xf>
    <xf borderId="5" fillId="7" fontId="2" numFmtId="167" xfId="0" applyAlignment="1" applyBorder="1" applyFill="1" applyFont="1" applyNumberFormat="1">
      <alignment horizontal="center" readingOrder="0" shrinkToFit="0" wrapText="1"/>
    </xf>
    <xf borderId="6" fillId="7" fontId="8" numFmtId="3" xfId="0" applyAlignment="1" applyBorder="1" applyFill="1" applyFont="1" applyNumberFormat="1">
      <alignment horizontal="center" readingOrder="0" vertical="center"/>
    </xf>
    <xf borderId="6" fillId="0" fontId="2" numFmtId="0" xfId="0" applyAlignment="1" applyBorder="1" applyFont="1">
      <alignment horizontal="center" readingOrder="0" shrinkToFit="0" vertical="center" wrapText="1"/>
    </xf>
    <xf borderId="5"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6" fillId="0" fontId="2" numFmtId="0" xfId="0" applyAlignment="1" applyBorder="1" applyFont="1">
      <alignment horizontal="center" vertical="center"/>
    </xf>
    <xf borderId="6" fillId="0" fontId="1" numFmtId="168" xfId="0" applyAlignment="1" applyBorder="1" applyFont="1" applyNumberFormat="1">
      <alignment horizontal="center" shrinkToFit="0" vertical="center" wrapText="1"/>
    </xf>
    <xf borderId="6" fillId="0" fontId="2" numFmtId="168" xfId="0" applyAlignment="1" applyBorder="1" applyFont="1" applyNumberFormat="1">
      <alignment horizontal="center" shrinkToFit="0" vertical="center" wrapText="1"/>
    </xf>
    <xf borderId="6" fillId="0" fontId="1" numFmtId="168" xfId="0" applyAlignment="1" applyBorder="1" applyFont="1" applyNumberFormat="1">
      <alignment horizontal="center" vertical="center"/>
    </xf>
    <xf borderId="6" fillId="0" fontId="1" numFmtId="0" xfId="0" applyAlignment="1" applyBorder="1" applyFont="1">
      <alignment horizontal="center" shrinkToFit="0" vertical="center" wrapText="1"/>
    </xf>
    <xf borderId="6" fillId="0" fontId="3" numFmtId="14" xfId="0" applyAlignment="1" applyBorder="1" applyFont="1" applyNumberFormat="1">
      <alignment horizontal="center" vertical="center"/>
    </xf>
    <xf borderId="6" fillId="0" fontId="2" numFmtId="14" xfId="0" applyAlignment="1" applyBorder="1" applyFont="1" applyNumberFormat="1">
      <alignment horizontal="center" readingOrder="0" vertical="center"/>
    </xf>
    <xf borderId="6" fillId="0" fontId="2" numFmtId="165" xfId="0" applyAlignment="1" applyBorder="1" applyFont="1" applyNumberFormat="1">
      <alignment horizontal="center" readingOrder="0" shrinkToFit="0" vertical="center" wrapText="1"/>
    </xf>
    <xf borderId="6" fillId="0" fontId="2" numFmtId="1" xfId="0" applyAlignment="1" applyBorder="1" applyFont="1" applyNumberFormat="1">
      <alignment horizontal="center" shrinkToFit="0" vertical="center" wrapText="1"/>
    </xf>
    <xf borderId="5" fillId="0" fontId="6" numFmtId="3" xfId="0" applyAlignment="1" applyBorder="1" applyFont="1" applyNumberFormat="1">
      <alignment horizontal="center" readingOrder="0" vertical="center"/>
    </xf>
    <xf borderId="6" fillId="5" fontId="6" numFmtId="3" xfId="0" applyAlignment="1" applyBorder="1" applyFill="1" applyFont="1" applyNumberFormat="1">
      <alignment horizontal="center" readingOrder="0" vertical="center"/>
    </xf>
    <xf borderId="6" fillId="0" fontId="1" numFmtId="166" xfId="0" applyAlignment="1" applyBorder="1" applyFont="1" applyNumberFormat="1">
      <alignment horizontal="center" vertical="center"/>
    </xf>
    <xf borderId="0" fillId="0" fontId="2" numFmtId="0" xfId="0" applyAlignment="1" applyFont="1">
      <alignment horizontal="center" vertical="center"/>
    </xf>
    <xf borderId="6" fillId="0" fontId="2" numFmtId="1" xfId="0" applyAlignment="1" applyBorder="1" applyFont="1" applyNumberFormat="1">
      <alignment horizontal="center" readingOrder="0" shrinkToFit="0" vertical="center" wrapText="1"/>
    </xf>
    <xf borderId="6" fillId="0" fontId="1" numFmtId="0" xfId="0" applyAlignment="1" applyBorder="1" applyFont="1">
      <alignment horizontal="center" readingOrder="0" vertical="center"/>
    </xf>
    <xf borderId="6" fillId="0" fontId="3" numFmtId="169" xfId="0" applyAlignment="1" applyBorder="1" applyFont="1" applyNumberFormat="1">
      <alignment horizontal="center" shrinkToFit="0" vertical="center" wrapText="1"/>
    </xf>
    <xf borderId="6" fillId="0" fontId="2" numFmtId="169" xfId="0" applyAlignment="1" applyBorder="1" applyFont="1" applyNumberFormat="1">
      <alignment horizontal="center" readingOrder="0" shrinkToFit="0" vertical="center" wrapText="1"/>
    </xf>
    <xf borderId="6" fillId="5" fontId="2" numFmtId="0" xfId="0" applyAlignment="1" applyBorder="1" applyFill="1" applyFont="1">
      <alignment horizontal="center" readingOrder="0" shrinkToFit="0" vertical="center" wrapText="1"/>
    </xf>
    <xf borderId="6" fillId="0" fontId="8" numFmtId="3" xfId="0" applyAlignment="1" applyBorder="1" applyFont="1" applyNumberFormat="1">
      <alignment horizontal="center" vertical="center"/>
    </xf>
    <xf borderId="6" fillId="0" fontId="2" numFmtId="165" xfId="0" applyAlignment="1" applyBorder="1" applyFont="1" applyNumberFormat="1">
      <alignment horizontal="center" shrinkToFit="0" vertical="center" wrapText="1"/>
    </xf>
    <xf borderId="6" fillId="5" fontId="2" numFmtId="0" xfId="0" applyAlignment="1" applyBorder="1" applyFill="1" applyFont="1">
      <alignment horizontal="center" readingOrder="0" vertical="center"/>
    </xf>
    <xf borderId="6" fillId="0" fontId="1" numFmtId="166" xfId="0" applyAlignment="1" applyBorder="1" applyFont="1" applyNumberFormat="1">
      <alignment horizontal="center" readingOrder="0" vertical="center"/>
    </xf>
    <xf borderId="0" fillId="0" fontId="2" numFmtId="168" xfId="0" applyAlignment="1" applyFont="1" applyNumberFormat="1">
      <alignment horizontal="center" shrinkToFit="0" wrapText="1"/>
    </xf>
    <xf borderId="0" fillId="0" fontId="2" numFmtId="0" xfId="0" applyAlignment="1" applyFont="1">
      <alignment horizontal="center" readingOrder="0" shrinkToFit="0" wrapText="1"/>
    </xf>
    <xf borderId="6" fillId="7" fontId="2" numFmtId="0" xfId="0" applyAlignment="1" applyBorder="1" applyFill="1" applyFont="1">
      <alignment horizontal="center" readingOrder="0" vertical="center"/>
    </xf>
    <xf borderId="5" fillId="0" fontId="5" numFmtId="0" xfId="0" applyAlignment="1" applyBorder="1" applyFont="1">
      <alignment horizontal="center" readingOrder="0" vertical="center"/>
    </xf>
    <xf borderId="6" fillId="0" fontId="2" numFmtId="0" xfId="0" applyAlignment="1" applyBorder="1" applyFont="1">
      <alignment horizontal="center" readingOrder="0" vertical="center"/>
    </xf>
    <xf borderId="5" fillId="0" fontId="2" numFmtId="167" xfId="0" applyAlignment="1" applyBorder="1" applyFont="1" applyNumberFormat="1">
      <alignment horizontal="center" readingOrder="0" shrinkToFit="0" wrapText="1"/>
    </xf>
    <xf borderId="5" fillId="0" fontId="2" numFmtId="0" xfId="0" applyAlignment="1" applyBorder="1" applyFont="1">
      <alignment horizontal="center" readingOrder="0" shrinkToFit="0" wrapText="1"/>
    </xf>
    <xf borderId="0" fillId="0" fontId="2" numFmtId="170" xfId="0" applyAlignment="1" applyFont="1" applyNumberFormat="1">
      <alignment horizontal="center" readingOrder="0" shrinkToFit="0" wrapText="1"/>
    </xf>
    <xf borderId="6" fillId="9" fontId="5" numFmtId="0" xfId="0" applyAlignment="1" applyBorder="1" applyFill="1" applyFont="1">
      <alignment horizontal="center" readingOrder="0" shrinkToFit="0" vertical="center" wrapText="1"/>
    </xf>
    <xf borderId="5" fillId="0" fontId="2" numFmtId="169" xfId="0" applyAlignment="1" applyBorder="1" applyFont="1" applyNumberFormat="1">
      <alignment horizontal="center" readingOrder="0" shrinkToFit="0" wrapText="1"/>
    </xf>
    <xf borderId="0" fillId="0" fontId="2" numFmtId="0" xfId="0" applyAlignment="1" applyFont="1">
      <alignment horizontal="center" readingOrder="0" shrinkToFit="0" wrapText="1"/>
    </xf>
    <xf borderId="0" fillId="0" fontId="2" numFmtId="169" xfId="0" applyAlignment="1" applyFont="1" applyNumberFormat="1">
      <alignment horizontal="center" readingOrder="0" shrinkToFit="0" wrapText="1"/>
    </xf>
    <xf borderId="6" fillId="0" fontId="1" numFmtId="0" xfId="0" applyAlignment="1" applyBorder="1" applyFont="1">
      <alignment horizontal="center" readingOrder="0" shrinkToFit="0" vertical="center" wrapText="1"/>
    </xf>
    <xf borderId="0" fillId="0" fontId="2" numFmtId="0" xfId="0" applyAlignment="1" applyFont="1">
      <alignment horizontal="center"/>
    </xf>
    <xf borderId="6" fillId="3" fontId="1" numFmtId="3" xfId="0" applyAlignment="1" applyBorder="1" applyFill="1" applyFont="1" applyNumberFormat="1">
      <alignment horizontal="center" readingOrder="0" vertical="center"/>
    </xf>
    <xf borderId="6" fillId="0" fontId="1" numFmtId="10" xfId="0" applyAlignment="1" applyBorder="1" applyFont="1" applyNumberFormat="1">
      <alignment horizontal="center" vertical="center"/>
    </xf>
    <xf borderId="6" fillId="8" fontId="5" numFmtId="0" xfId="0" applyAlignment="1" applyBorder="1" applyFill="1" applyFont="1">
      <alignment horizontal="center" readingOrder="0" shrinkToFit="0" vertical="center" wrapText="1"/>
    </xf>
    <xf borderId="6" fillId="7" fontId="5" numFmtId="0" xfId="0" applyAlignment="1" applyBorder="1" applyFill="1" applyFont="1">
      <alignment horizontal="center" readingOrder="0" shrinkToFit="0" vertical="center" wrapText="1"/>
    </xf>
    <xf borderId="6" fillId="7" fontId="6" numFmtId="3" xfId="0" applyAlignment="1" applyBorder="1" applyFill="1" applyFont="1" applyNumberFormat="1">
      <alignment horizontal="center" readingOrder="0" vertical="center"/>
    </xf>
    <xf borderId="6" fillId="7" fontId="1" numFmtId="10" xfId="0" applyAlignment="1" applyBorder="1" applyFill="1" applyFont="1" applyNumberFormat="1">
      <alignment horizontal="center" vertical="center"/>
    </xf>
    <xf borderId="6" fillId="7" fontId="1" numFmtId="166" xfId="0" applyAlignment="1" applyBorder="1" applyFill="1" applyFont="1" applyNumberFormat="1">
      <alignment horizontal="center" readingOrder="0" vertical="center"/>
    </xf>
    <xf borderId="6" fillId="11" fontId="2" numFmtId="0" xfId="0" applyAlignment="1" applyBorder="1" applyFill="1" applyFont="1">
      <alignment horizontal="center" readingOrder="0" shrinkToFit="0" vertical="center" wrapText="1"/>
    </xf>
    <xf borderId="6" fillId="7" fontId="2" numFmtId="0" xfId="0" applyAlignment="1" applyBorder="1" applyFill="1" applyFont="1">
      <alignment horizontal="center"/>
    </xf>
    <xf borderId="6" fillId="4" fontId="1" numFmtId="3" xfId="0" applyAlignment="1" applyBorder="1" applyFill="1" applyFont="1" applyNumberFormat="1">
      <alignment horizontal="center" readingOrder="0" vertical="center"/>
    </xf>
    <xf borderId="6" fillId="8" fontId="5" numFmtId="0" xfId="0" applyAlignment="1" applyBorder="1" applyFill="1" applyFont="1">
      <alignment horizontal="center" readingOrder="0" shrinkToFit="0" vertical="center" wrapText="1"/>
    </xf>
    <xf borderId="5" fillId="7" fontId="2" numFmtId="168" xfId="0" applyAlignment="1" applyBorder="1" applyFill="1" applyFont="1" applyNumberFormat="1">
      <alignment horizontal="center" readingOrder="0" shrinkToFit="0" wrapText="1"/>
    </xf>
    <xf borderId="6" fillId="10" fontId="5" numFmtId="0" xfId="0" applyAlignment="1" applyBorder="1" applyFill="1" applyFont="1">
      <alignment horizontal="center" readingOrder="0" shrinkToFit="0" vertical="center" wrapText="1"/>
    </xf>
    <xf borderId="6" fillId="0" fontId="2" numFmtId="170" xfId="0" applyAlignment="1" applyBorder="1" applyFont="1" applyNumberFormat="1">
      <alignment horizontal="center" readingOrder="0" shrinkToFit="0" vertical="center" wrapText="1"/>
    </xf>
    <xf borderId="6" fillId="0" fontId="6" numFmtId="3" xfId="0" applyAlignment="1" applyBorder="1" applyFont="1" applyNumberFormat="1">
      <alignment horizontal="center" readingOrder="0" vertical="center"/>
    </xf>
    <xf borderId="6" fillId="7" fontId="6" numFmtId="166" xfId="0" applyAlignment="1" applyBorder="1" applyFill="1" applyFont="1" applyNumberFormat="1">
      <alignment horizontal="center" vertical="center"/>
    </xf>
    <xf borderId="6" fillId="7" fontId="6" numFmtId="166" xfId="0" applyAlignment="1" applyBorder="1" applyFill="1" applyFont="1" applyNumberFormat="1">
      <alignment horizontal="center" readingOrder="0" vertical="center"/>
    </xf>
    <xf borderId="6" fillId="7" fontId="5" numFmtId="0" xfId="0" applyAlignment="1" applyBorder="1" applyFill="1" applyFont="1">
      <alignment horizontal="center" readingOrder="0" shrinkToFit="0" vertical="center" wrapText="1"/>
    </xf>
    <xf borderId="0" fillId="8" fontId="5" numFmtId="0" xfId="0" applyAlignment="1" applyFill="1" applyFont="1">
      <alignment readingOrder="0" shrinkToFit="0" vertical="center" wrapText="1"/>
    </xf>
    <xf borderId="0" fillId="12" fontId="5" numFmtId="0" xfId="0" applyAlignment="1" applyFill="1" applyFont="1">
      <alignment horizontal="center" readingOrder="0" shrinkToFit="0" wrapText="1"/>
    </xf>
    <xf borderId="6" fillId="7" fontId="2" numFmtId="14" xfId="0" applyAlignment="1" applyBorder="1" applyFill="1" applyFont="1" applyNumberFormat="1">
      <alignment horizontal="center" vertical="center"/>
    </xf>
    <xf borderId="7" fillId="0" fontId="1" numFmtId="0" xfId="0" applyAlignment="1" applyBorder="1" applyFont="1">
      <alignment horizontal="center" shrinkToFit="0" vertical="center" wrapText="1"/>
    </xf>
    <xf borderId="6" fillId="0" fontId="1" numFmtId="3" xfId="0" applyAlignment="1" applyBorder="1" applyFont="1" applyNumberFormat="1">
      <alignment horizontal="center" vertical="center"/>
    </xf>
    <xf borderId="6" fillId="0" fontId="1" numFmtId="0" xfId="0" applyAlignment="1" applyBorder="1" applyFont="1">
      <alignment horizontal="center" vertical="center"/>
    </xf>
    <xf borderId="6" fillId="0" fontId="2" numFmtId="164" xfId="0" applyAlignment="1" applyBorder="1" applyFont="1" applyNumberFormat="1">
      <alignment horizontal="center" shrinkToFit="0" vertical="center" wrapText="1"/>
    </xf>
    <xf borderId="6" fillId="0" fontId="2" numFmtId="14" xfId="0" applyAlignment="1" applyBorder="1" applyFont="1" applyNumberFormat="1">
      <alignment horizontal="center" vertical="center"/>
    </xf>
    <xf borderId="5" fillId="0" fontId="1" numFmtId="3" xfId="0" applyAlignment="1" applyBorder="1" applyFont="1" applyNumberFormat="1">
      <alignment horizontal="center" vertical="center"/>
    </xf>
    <xf borderId="6" fillId="3" fontId="1" numFmtId="3" xfId="0" applyAlignment="1" applyBorder="1" applyFill="1" applyFont="1" applyNumberFormat="1">
      <alignment horizontal="center" vertical="center"/>
    </xf>
    <xf borderId="6" fillId="5" fontId="1" numFmtId="3" xfId="0" applyAlignment="1" applyBorder="1" applyFill="1" applyFont="1" applyNumberFormat="1">
      <alignment horizontal="center" vertical="center"/>
    </xf>
    <xf borderId="6" fillId="0" fontId="1" numFmtId="9" xfId="0" applyAlignment="1" applyBorder="1" applyFont="1" applyNumberFormat="1">
      <alignment horizontal="center" vertical="center"/>
    </xf>
    <xf borderId="0" fillId="7" fontId="5" numFmtId="0" xfId="0" applyAlignment="1" applyFill="1" applyFont="1">
      <alignment readingOrder="0" shrinkToFit="0" vertical="center" wrapText="1"/>
    </xf>
    <xf borderId="6" fillId="0" fontId="5" numFmtId="0" xfId="0" applyAlignment="1" applyBorder="1" applyFont="1">
      <alignment horizontal="center" vertical="center"/>
    </xf>
    <xf borderId="6" fillId="0" fontId="5" numFmtId="164" xfId="0" applyAlignment="1" applyBorder="1" applyFont="1" applyNumberFormat="1">
      <alignment horizontal="center" readingOrder="0" shrinkToFit="0" vertical="center" wrapText="1"/>
    </xf>
    <xf borderId="6" fillId="0" fontId="6" numFmtId="166" xfId="0" applyAlignment="1" applyBorder="1" applyFont="1" applyNumberFormat="1">
      <alignment horizontal="center" vertical="center"/>
    </xf>
    <xf borderId="5" fillId="7" fontId="2" numFmtId="169" xfId="0" applyAlignment="1" applyBorder="1" applyFill="1" applyFont="1" applyNumberFormat="1">
      <alignment horizontal="center" readingOrder="0" shrinkToFit="0" wrapText="1"/>
    </xf>
    <xf borderId="5" fillId="0" fontId="2" numFmtId="170" xfId="0" applyAlignment="1" applyBorder="1" applyFont="1" applyNumberFormat="1">
      <alignment horizontal="center" readingOrder="0" shrinkToFit="0" wrapText="1"/>
    </xf>
    <xf borderId="6" fillId="7" fontId="5" numFmtId="0" xfId="0" applyAlignment="1" applyBorder="1" applyFill="1" applyFont="1">
      <alignment horizontal="center" vertical="center"/>
    </xf>
    <xf borderId="6" fillId="7" fontId="5" numFmtId="0" xfId="0" applyAlignment="1" applyBorder="1" applyFill="1" applyFont="1">
      <alignment readingOrder="0" shrinkToFit="0" vertical="center" wrapText="1"/>
    </xf>
    <xf borderId="0" fillId="7" fontId="1" numFmtId="0" xfId="0" applyAlignment="1" applyFill="1" applyFont="1">
      <alignment horizontal="center" shrinkToFit="0" vertical="center" wrapText="1"/>
    </xf>
    <xf borderId="0" fillId="7" fontId="5" numFmtId="0" xfId="0" applyAlignment="1" applyFill="1" applyFont="1">
      <alignment readingOrder="0" shrinkToFit="0" vertical="center" wrapText="1"/>
    </xf>
    <xf borderId="6" fillId="7" fontId="2" numFmtId="0" xfId="0" applyAlignment="1" applyBorder="1" applyFill="1" applyFont="1">
      <alignment horizontal="center" readingOrder="0" vertical="center"/>
    </xf>
    <xf borderId="6" fillId="7" fontId="5" numFmtId="0" xfId="0" applyAlignment="1" applyBorder="1" applyFill="1" applyFont="1">
      <alignment readingOrder="0" shrinkToFit="0" vertical="center" wrapText="1"/>
    </xf>
    <xf borderId="6" fillId="7" fontId="9" numFmtId="166" xfId="0" applyAlignment="1" applyBorder="1" applyFill="1" applyFont="1" applyNumberFormat="1">
      <alignment horizontal="center" vertical="center"/>
    </xf>
    <xf borderId="8" fillId="7" fontId="5" numFmtId="0" xfId="0" applyAlignment="1" applyBorder="1" applyFill="1" applyFont="1">
      <alignment readingOrder="0" shrinkToFit="0" vertical="center" wrapText="1"/>
    </xf>
    <xf borderId="6" fillId="7" fontId="8" numFmtId="0" xfId="0" applyAlignment="1" applyBorder="1" applyFill="1" applyFont="1">
      <alignment horizontal="center" readingOrder="0" shrinkToFit="0" vertical="center" wrapText="1"/>
    </xf>
    <xf borderId="8" fillId="7" fontId="5" numFmtId="0" xfId="0" applyAlignment="1" applyBorder="1" applyFill="1" applyFont="1">
      <alignment horizontal="center" readingOrder="0" shrinkToFit="0" vertical="center" wrapText="1"/>
    </xf>
    <xf borderId="5" fillId="13" fontId="2" numFmtId="0" xfId="0" applyAlignment="1" applyBorder="1" applyFill="1" applyFont="1">
      <alignment horizontal="center" shrinkToFit="0" wrapText="1"/>
    </xf>
    <xf borderId="5" fillId="13" fontId="2" numFmtId="167" xfId="0" applyAlignment="1" applyBorder="1" applyFill="1" applyFont="1" applyNumberFormat="1">
      <alignment horizontal="center" shrinkToFit="0" wrapText="1"/>
    </xf>
    <xf borderId="0" fillId="13" fontId="2" numFmtId="0" xfId="0" applyAlignment="1" applyFill="1" applyFont="1">
      <alignment horizontal="center" shrinkToFit="0" wrapText="1"/>
    </xf>
    <xf borderId="5" fillId="13" fontId="2" numFmtId="168" xfId="0" applyAlignment="1" applyBorder="1" applyFill="1" applyFont="1" applyNumberFormat="1">
      <alignment horizontal="center" shrinkToFit="0" wrapText="1"/>
    </xf>
    <xf borderId="5" fillId="13" fontId="2" numFmtId="169" xfId="0" applyAlignment="1" applyBorder="1" applyFill="1" applyFont="1" applyNumberFormat="1">
      <alignment horizontal="center" shrinkToFit="0" wrapText="1"/>
    </xf>
    <xf borderId="0" fillId="13" fontId="2" numFmtId="0" xfId="0" applyAlignment="1" applyFill="1" applyFont="1">
      <alignment horizontal="center" vertical="center"/>
    </xf>
    <xf borderId="6" fillId="7" fontId="3" numFmtId="0" xfId="0" applyAlignment="1" applyBorder="1" applyFill="1" applyFont="1">
      <alignment horizontal="center" vertical="center"/>
    </xf>
    <xf borderId="6" fillId="5" fontId="8" numFmtId="3" xfId="0" applyAlignment="1" applyBorder="1" applyFill="1" applyFont="1" applyNumberFormat="1">
      <alignment horizontal="center" readingOrder="0" vertical="center"/>
    </xf>
    <xf borderId="6" fillId="7" fontId="3" numFmtId="164" xfId="0" applyAlignment="1" applyBorder="1" applyFill="1" applyFont="1" applyNumberFormat="1">
      <alignment horizontal="center" readingOrder="0" shrinkToFit="0" vertical="center" wrapText="1"/>
    </xf>
    <xf borderId="6" fillId="7" fontId="8" numFmtId="166" xfId="0" applyAlignment="1" applyBorder="1" applyFill="1" applyFont="1" applyNumberFormat="1">
      <alignment horizontal="center" vertical="center"/>
    </xf>
    <xf borderId="0" fillId="0" fontId="10" numFmtId="0" xfId="0" applyFont="1"/>
    <xf borderId="6" fillId="0" fontId="2" numFmtId="0" xfId="0" applyAlignment="1" applyBorder="1" applyFont="1">
      <alignment horizontal="center" readingOrder="0" vertical="center"/>
    </xf>
    <xf borderId="5" fillId="0" fontId="9" numFmtId="3" xfId="0" applyAlignment="1" applyBorder="1" applyFont="1" applyNumberFormat="1">
      <alignment horizontal="center" readingOrder="0" vertical="center"/>
    </xf>
    <xf borderId="6" fillId="0" fontId="9" numFmtId="3" xfId="0" applyAlignment="1" applyBorder="1" applyFont="1" applyNumberFormat="1">
      <alignment horizontal="center" readingOrder="0" vertical="center"/>
    </xf>
    <xf borderId="5" fillId="0" fontId="2" numFmtId="0" xfId="0" applyAlignment="1" applyBorder="1" applyFont="1">
      <alignment horizontal="center"/>
    </xf>
    <xf borderId="5" fillId="7" fontId="9" numFmtId="3" xfId="0" applyAlignment="1" applyBorder="1" applyFill="1" applyFont="1" applyNumberFormat="1">
      <alignment horizontal="center" readingOrder="0" vertical="center"/>
    </xf>
    <xf borderId="6" fillId="5" fontId="9" numFmtId="3" xfId="0" applyAlignment="1" applyBorder="1" applyFill="1" applyFont="1" applyNumberFormat="1">
      <alignment horizontal="center" readingOrder="0" vertical="center"/>
    </xf>
    <xf borderId="6" fillId="7" fontId="4" numFmtId="0" xfId="0" applyAlignment="1" applyBorder="1" applyFill="1" applyFont="1">
      <alignment horizontal="center" readingOrder="0" vertical="center"/>
    </xf>
    <xf borderId="6" fillId="7" fontId="6" numFmtId="168" xfId="0" applyAlignment="1" applyBorder="1" applyFill="1" applyFont="1" applyNumberFormat="1">
      <alignment horizontal="center" shrinkToFit="0" vertical="center" wrapText="1"/>
    </xf>
    <xf borderId="6" fillId="7" fontId="5" numFmtId="168" xfId="0" applyAlignment="1" applyBorder="1" applyFill="1" applyFont="1" applyNumberFormat="1">
      <alignment horizontal="center" shrinkToFit="0" vertical="center" wrapText="1"/>
    </xf>
    <xf borderId="6" fillId="7" fontId="6" numFmtId="168" xfId="0" applyAlignment="1" applyBorder="1" applyFill="1" applyFont="1" applyNumberFormat="1">
      <alignment horizontal="center" vertical="center"/>
    </xf>
    <xf borderId="6" fillId="7" fontId="6" numFmtId="0" xfId="0" applyAlignment="1" applyBorder="1" applyFill="1" applyFont="1">
      <alignment horizontal="center" readingOrder="0" shrinkToFit="0" vertical="center" wrapText="1"/>
    </xf>
    <xf borderId="6" fillId="7" fontId="5" numFmtId="14" xfId="0" applyAlignment="1" applyBorder="1" applyFill="1" applyFont="1" applyNumberFormat="1">
      <alignment horizontal="center" vertical="center"/>
    </xf>
    <xf borderId="6" fillId="7" fontId="5" numFmtId="14" xfId="0" applyAlignment="1" applyBorder="1" applyFill="1" applyFont="1" applyNumberFormat="1">
      <alignment horizontal="center" readingOrder="0" vertical="center"/>
    </xf>
    <xf borderId="6" fillId="7" fontId="5" numFmtId="165" xfId="0" applyAlignment="1" applyBorder="1" applyFill="1" applyFont="1" applyNumberFormat="1">
      <alignment horizontal="center" readingOrder="0" shrinkToFit="0" vertical="center" wrapText="1"/>
    </xf>
    <xf borderId="6" fillId="7" fontId="5" numFmtId="0" xfId="0" applyAlignment="1" applyBorder="1" applyFill="1" applyFont="1">
      <alignment horizontal="center" readingOrder="0" vertical="center"/>
    </xf>
    <xf borderId="5" fillId="7" fontId="5" numFmtId="167" xfId="0" applyAlignment="1" applyBorder="1" applyFill="1" applyFont="1" applyNumberFormat="1">
      <alignment horizontal="center" readingOrder="0" shrinkToFit="0" wrapText="1"/>
    </xf>
    <xf borderId="5" fillId="7" fontId="5" numFmtId="0" xfId="0" applyAlignment="1" applyBorder="1" applyFill="1" applyFont="1">
      <alignment horizontal="center" readingOrder="0" shrinkToFit="0" wrapText="1"/>
    </xf>
    <xf borderId="0" fillId="7" fontId="5" numFmtId="0" xfId="0" applyAlignment="1" applyFill="1" applyFont="1">
      <alignment horizontal="center" readingOrder="0" shrinkToFit="0" wrapText="1"/>
    </xf>
    <xf borderId="0" fillId="7" fontId="5" numFmtId="0" xfId="0" applyAlignment="1" applyFill="1" applyFont="1">
      <alignment horizontal="center" readingOrder="0" shrinkToFit="0" wrapText="1"/>
    </xf>
    <xf borderId="5" fillId="7" fontId="5" numFmtId="168" xfId="0" applyAlignment="1" applyBorder="1" applyFill="1" applyFont="1" applyNumberFormat="1">
      <alignment horizontal="center" shrinkToFit="0" wrapText="1"/>
    </xf>
    <xf borderId="5" fillId="7" fontId="5" numFmtId="169" xfId="0" applyAlignment="1" applyBorder="1" applyFill="1" applyFont="1" applyNumberFormat="1">
      <alignment horizontal="center" readingOrder="0" shrinkToFit="0" wrapText="1"/>
    </xf>
    <xf borderId="0" fillId="5" fontId="2" numFmtId="0" xfId="0" applyAlignment="1" applyFill="1" applyFont="1">
      <alignment horizontal="center" readingOrder="0" vertical="center"/>
    </xf>
    <xf borderId="5" fillId="5" fontId="2" numFmtId="0" xfId="0" applyAlignment="1" applyBorder="1" applyFill="1" applyFont="1">
      <alignment horizontal="center" readingOrder="0" shrinkToFit="0" vertical="center" wrapText="1"/>
    </xf>
    <xf borderId="7" fillId="5" fontId="1" numFmtId="0" xfId="0" applyAlignment="1" applyBorder="1" applyFill="1" applyFont="1">
      <alignment horizontal="center" readingOrder="0" shrinkToFit="0" vertical="center" wrapText="1"/>
    </xf>
    <xf borderId="6" fillId="5" fontId="2" numFmtId="0" xfId="0" applyAlignment="1" applyBorder="1" applyFill="1" applyFont="1">
      <alignment horizontal="center" vertical="center"/>
    </xf>
    <xf borderId="6" fillId="5" fontId="2" numFmtId="164" xfId="0" applyAlignment="1" applyBorder="1" applyFill="1" applyFont="1" applyNumberFormat="1">
      <alignment horizontal="center" readingOrder="0" shrinkToFit="0" vertical="center" wrapText="1"/>
    </xf>
    <xf borderId="6" fillId="5" fontId="1" numFmtId="168" xfId="0" applyAlignment="1" applyBorder="1" applyFill="1" applyFont="1" applyNumberFormat="1">
      <alignment horizontal="center" shrinkToFit="0" vertical="center" wrapText="1"/>
    </xf>
    <xf borderId="6" fillId="5" fontId="2" numFmtId="168" xfId="0" applyAlignment="1" applyBorder="1" applyFill="1" applyFont="1" applyNumberFormat="1">
      <alignment horizontal="center" shrinkToFit="0" vertical="center" wrapText="1"/>
    </xf>
    <xf borderId="6" fillId="5" fontId="1" numFmtId="168" xfId="0" applyAlignment="1" applyBorder="1" applyFill="1" applyFont="1" applyNumberFormat="1">
      <alignment horizontal="center" vertical="center"/>
    </xf>
    <xf borderId="6" fillId="5" fontId="1" numFmtId="0" xfId="0" applyAlignment="1" applyBorder="1" applyFill="1" applyFont="1">
      <alignment horizontal="center" readingOrder="0" shrinkToFit="0" vertical="center" wrapText="1"/>
    </xf>
    <xf borderId="6" fillId="5" fontId="5" numFmtId="14" xfId="0" applyAlignment="1" applyBorder="1" applyFill="1" applyFont="1" applyNumberFormat="1">
      <alignment horizontal="center" readingOrder="0" vertical="center"/>
    </xf>
    <xf borderId="6" fillId="5" fontId="2" numFmtId="14" xfId="0" applyAlignment="1" applyBorder="1" applyFill="1" applyFont="1" applyNumberFormat="1">
      <alignment horizontal="center" readingOrder="0" vertical="center"/>
    </xf>
    <xf borderId="6" fillId="5" fontId="2" numFmtId="165" xfId="0" applyAlignment="1" applyBorder="1" applyFill="1" applyFont="1" applyNumberFormat="1">
      <alignment horizontal="center" readingOrder="0" shrinkToFit="0" vertical="center" wrapText="1"/>
    </xf>
    <xf borderId="5" fillId="5" fontId="2" numFmtId="1" xfId="0" applyAlignment="1" applyBorder="1" applyFill="1" applyFont="1" applyNumberFormat="1">
      <alignment horizontal="center" shrinkToFit="0" vertical="center" wrapText="1"/>
    </xf>
    <xf borderId="6" fillId="5" fontId="1" numFmtId="166" xfId="0" applyAlignment="1" applyBorder="1" applyFill="1" applyFont="1" applyNumberFormat="1">
      <alignment horizontal="center" vertical="center"/>
    </xf>
    <xf borderId="5" fillId="5" fontId="2" numFmtId="0" xfId="0" applyAlignment="1" applyBorder="1" applyFill="1" applyFont="1">
      <alignment horizontal="center" shrinkToFit="0" wrapText="1"/>
    </xf>
    <xf borderId="5" fillId="5" fontId="2" numFmtId="167" xfId="0" applyAlignment="1" applyBorder="1" applyFill="1" applyFont="1" applyNumberFormat="1">
      <alignment horizontal="center" readingOrder="0" shrinkToFit="0" wrapText="1"/>
    </xf>
    <xf borderId="5" fillId="5" fontId="2" numFmtId="0" xfId="0" applyAlignment="1" applyBorder="1" applyFill="1" applyFont="1">
      <alignment horizontal="center" readingOrder="0" shrinkToFit="0" wrapText="1"/>
    </xf>
    <xf borderId="0" fillId="5" fontId="2" numFmtId="0" xfId="0" applyAlignment="1" applyFill="1" applyFont="1">
      <alignment horizontal="center" readingOrder="0" shrinkToFit="0" wrapText="1"/>
    </xf>
    <xf borderId="0" fillId="5" fontId="2" numFmtId="0" xfId="0" applyAlignment="1" applyFill="1" applyFont="1">
      <alignment horizontal="center" readingOrder="0" shrinkToFit="0" wrapText="1"/>
    </xf>
    <xf borderId="5" fillId="5" fontId="2" numFmtId="168" xfId="0" applyAlignment="1" applyBorder="1" applyFill="1" applyFont="1" applyNumberFormat="1">
      <alignment horizontal="center" shrinkToFit="0" wrapText="1"/>
    </xf>
    <xf borderId="5" fillId="5" fontId="2" numFmtId="169" xfId="0" applyAlignment="1" applyBorder="1" applyFill="1" applyFont="1" applyNumberFormat="1">
      <alignment horizontal="center" shrinkToFit="0" wrapText="1"/>
    </xf>
    <xf borderId="0" fillId="5" fontId="2" numFmtId="0" xfId="0" applyAlignment="1" applyFill="1" applyFont="1">
      <alignment horizontal="center" vertical="center"/>
    </xf>
    <xf borderId="6" fillId="0" fontId="5" numFmtId="14" xfId="0" applyAlignment="1" applyBorder="1" applyFont="1" applyNumberFormat="1">
      <alignment horizontal="center" readingOrder="0" vertical="center"/>
    </xf>
    <xf borderId="6" fillId="0" fontId="2" numFmtId="171" xfId="0" applyAlignment="1" applyBorder="1" applyFont="1" applyNumberFormat="1">
      <alignment horizontal="center" readingOrder="0" vertical="center"/>
    </xf>
    <xf borderId="6" fillId="0" fontId="2" numFmtId="3" xfId="0" applyAlignment="1" applyBorder="1" applyFont="1" applyNumberFormat="1">
      <alignment horizontal="center" readingOrder="0" vertical="center"/>
    </xf>
    <xf borderId="6" fillId="0" fontId="1" numFmtId="4" xfId="0" applyAlignment="1" applyBorder="1" applyFont="1" applyNumberFormat="1">
      <alignment horizontal="center" readingOrder="0" vertical="center"/>
    </xf>
    <xf borderId="6" fillId="0" fontId="2" numFmtId="4" xfId="0" applyAlignment="1" applyBorder="1" applyFont="1" applyNumberFormat="1">
      <alignment horizontal="center" readingOrder="0" vertical="center"/>
    </xf>
    <xf borderId="6" fillId="7" fontId="3" numFmtId="0" xfId="0" applyAlignment="1" applyBorder="1" applyFill="1" applyFont="1">
      <alignment horizontal="center" readingOrder="0" shrinkToFit="0" vertical="center" wrapText="1"/>
    </xf>
    <xf borderId="6" fillId="7" fontId="3" numFmtId="14" xfId="0" applyAlignment="1" applyBorder="1" applyFill="1" applyFont="1" applyNumberFormat="1">
      <alignment horizontal="center" readingOrder="0" vertical="center"/>
    </xf>
    <xf borderId="6" fillId="7" fontId="2" numFmtId="2" xfId="0" applyAlignment="1" applyBorder="1" applyFill="1" applyFont="1" applyNumberFormat="1">
      <alignment horizontal="center" readingOrder="0" shrinkToFit="0" vertical="center" wrapText="1"/>
    </xf>
    <xf borderId="6" fillId="7" fontId="1" numFmtId="4" xfId="0" applyAlignment="1" applyBorder="1" applyFill="1" applyFont="1" applyNumberFormat="1">
      <alignment horizontal="center" readingOrder="0" vertical="center"/>
    </xf>
    <xf borderId="6" fillId="7" fontId="2" numFmtId="4" xfId="0" applyAlignment="1" applyBorder="1" applyFill="1" applyFont="1" applyNumberFormat="1">
      <alignment horizontal="center" readingOrder="0" vertical="center"/>
    </xf>
    <xf borderId="6" fillId="7" fontId="2" numFmtId="0" xfId="0" applyAlignment="1" applyBorder="1" applyFill="1" applyFont="1">
      <alignment horizontal="center" readingOrder="0"/>
    </xf>
    <xf borderId="6" fillId="0" fontId="2" numFmtId="2" xfId="0" applyAlignment="1" applyBorder="1" applyFont="1" applyNumberFormat="1">
      <alignment horizontal="center" readingOrder="0" shrinkToFit="0" vertical="center" wrapText="1"/>
    </xf>
    <xf borderId="5" fillId="0" fontId="1" numFmtId="172" xfId="0" applyAlignment="1" applyBorder="1" applyFont="1" applyNumberFormat="1">
      <alignment horizontal="center" readingOrder="0" vertical="center"/>
    </xf>
    <xf borderId="5" fillId="0" fontId="9" numFmtId="172" xfId="0" applyAlignment="1" applyBorder="1" applyFont="1" applyNumberFormat="1">
      <alignment horizontal="center" readingOrder="0" vertical="center"/>
    </xf>
    <xf borderId="5" fillId="4" fontId="5" numFmtId="172" xfId="0" applyAlignment="1" applyBorder="1" applyFill="1" applyFont="1" applyNumberFormat="1">
      <alignment horizontal="center" readingOrder="0" vertical="center"/>
    </xf>
    <xf borderId="6" fillId="5" fontId="9" numFmtId="172" xfId="0" applyAlignment="1" applyBorder="1" applyFill="1" applyFont="1" applyNumberFormat="1">
      <alignment horizontal="center" readingOrder="0" vertical="center"/>
    </xf>
    <xf borderId="0" fillId="5" fontId="2" numFmtId="0" xfId="0" applyAlignment="1" applyFill="1" applyFont="1">
      <alignment horizontal="center" readingOrder="0" shrinkToFit="0" vertical="center" wrapText="1"/>
    </xf>
    <xf borderId="0" fillId="0" fontId="5" numFmtId="0" xfId="0" applyAlignment="1" applyFont="1">
      <alignment horizontal="center" readingOrder="0" vertical="center"/>
    </xf>
    <xf borderId="6" fillId="0" fontId="5"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7" fillId="0" fontId="6" numFmtId="0" xfId="0" applyAlignment="1" applyBorder="1" applyFont="1">
      <alignment horizontal="center" readingOrder="0" shrinkToFit="0" vertical="center" wrapText="1"/>
    </xf>
    <xf borderId="6" fillId="0" fontId="6" numFmtId="4" xfId="0" applyAlignment="1" applyBorder="1" applyFont="1" applyNumberFormat="1">
      <alignment horizontal="center" readingOrder="0" vertical="center"/>
    </xf>
    <xf borderId="6" fillId="0" fontId="6" numFmtId="168" xfId="0" applyAlignment="1" applyBorder="1" applyFont="1" applyNumberFormat="1">
      <alignment horizontal="center" shrinkToFit="0" vertical="center" wrapText="1"/>
    </xf>
    <xf borderId="6" fillId="0" fontId="5" numFmtId="168" xfId="0" applyAlignment="1" applyBorder="1" applyFont="1" applyNumberFormat="1">
      <alignment horizontal="center" shrinkToFit="0" vertical="center" wrapText="1"/>
    </xf>
    <xf borderId="6" fillId="0" fontId="6" numFmtId="168" xfId="0" applyAlignment="1" applyBorder="1" applyFont="1" applyNumberFormat="1">
      <alignment horizontal="center" vertical="center"/>
    </xf>
    <xf borderId="6" fillId="0" fontId="6" numFmtId="0" xfId="0" applyAlignment="1" applyBorder="1" applyFont="1">
      <alignment horizontal="center" readingOrder="0" shrinkToFit="0" vertical="center" wrapText="1"/>
    </xf>
    <xf borderId="6" fillId="0" fontId="5" numFmtId="165" xfId="0" applyAlignment="1" applyBorder="1" applyFont="1" applyNumberFormat="1">
      <alignment horizontal="center" readingOrder="0" shrinkToFit="0" vertical="center" wrapText="1"/>
    </xf>
    <xf borderId="5" fillId="0" fontId="5" numFmtId="1" xfId="0" applyAlignment="1" applyBorder="1" applyFont="1" applyNumberFormat="1">
      <alignment horizontal="center" shrinkToFit="0" vertical="center" wrapText="1"/>
    </xf>
    <xf borderId="6" fillId="3" fontId="6" numFmtId="3" xfId="0" applyAlignment="1" applyBorder="1" applyFill="1" applyFont="1" applyNumberFormat="1">
      <alignment horizontal="center" readingOrder="0" vertical="center"/>
    </xf>
    <xf borderId="6" fillId="0" fontId="6" numFmtId="172" xfId="0" applyAlignment="1" applyBorder="1" applyFont="1" applyNumberFormat="1">
      <alignment horizontal="center" readingOrder="0" vertical="center"/>
    </xf>
    <xf borderId="6" fillId="0" fontId="6" numFmtId="10" xfId="0" applyAlignment="1" applyBorder="1" applyFont="1" applyNumberFormat="1">
      <alignment horizontal="center" vertical="center"/>
    </xf>
    <xf borderId="5" fillId="0" fontId="5" numFmtId="0" xfId="0" applyAlignment="1" applyBorder="1" applyFont="1">
      <alignment horizontal="center" shrinkToFit="0" wrapText="1"/>
    </xf>
    <xf borderId="5" fillId="0" fontId="5" numFmtId="167" xfId="0" applyAlignment="1" applyBorder="1" applyFont="1" applyNumberFormat="1">
      <alignment horizontal="center" readingOrder="0" shrinkToFit="0" wrapText="1"/>
    </xf>
    <xf borderId="5" fillId="0" fontId="5" numFmtId="0" xfId="0" applyAlignment="1" applyBorder="1" applyFont="1">
      <alignment horizontal="center" readingOrder="0" shrinkToFit="0" wrapText="1"/>
    </xf>
    <xf borderId="0" fillId="0" fontId="5" numFmtId="0" xfId="0" applyAlignment="1" applyFont="1">
      <alignment horizontal="center" readingOrder="0" shrinkToFit="0" wrapText="1"/>
    </xf>
    <xf borderId="0" fillId="0" fontId="5" numFmtId="0" xfId="0" applyAlignment="1" applyFont="1">
      <alignment horizontal="center" readingOrder="0" shrinkToFit="0" wrapText="1"/>
    </xf>
    <xf borderId="5" fillId="0" fontId="5" numFmtId="168" xfId="0" applyAlignment="1" applyBorder="1" applyFont="1" applyNumberFormat="1">
      <alignment horizontal="center" shrinkToFit="0" wrapText="1"/>
    </xf>
    <xf borderId="5" fillId="0" fontId="5" numFmtId="169" xfId="0" applyAlignment="1" applyBorder="1" applyFont="1" applyNumberFormat="1">
      <alignment horizontal="center" readingOrder="0" shrinkToFit="0" wrapText="1"/>
    </xf>
    <xf borderId="0" fillId="0" fontId="5" numFmtId="0" xfId="0" applyAlignment="1" applyFont="1">
      <alignment horizontal="center" vertical="center"/>
    </xf>
    <xf borderId="7" fillId="14" fontId="1" numFmtId="0" xfId="0" applyAlignment="1" applyBorder="1" applyFill="1" applyFont="1">
      <alignment horizontal="center" readingOrder="0" shrinkToFit="0" vertical="center" wrapText="1"/>
    </xf>
    <xf borderId="6" fillId="7" fontId="8" numFmtId="10" xfId="0" applyAlignment="1" applyBorder="1" applyFill="1" applyFont="1" applyNumberFormat="1">
      <alignment horizontal="center" vertical="center"/>
    </xf>
    <xf borderId="0" fillId="9" fontId="5" numFmtId="0" xfId="0" applyAlignment="1" applyFill="1" applyFont="1">
      <alignment horizontal="center" readingOrder="0"/>
    </xf>
    <xf borderId="6" fillId="7" fontId="2" numFmtId="0" xfId="0" applyAlignment="1" applyBorder="1" applyFill="1" applyFont="1">
      <alignment horizontal="center" shrinkToFit="0" wrapText="1"/>
    </xf>
    <xf borderId="0" fillId="0" fontId="2" numFmtId="170" xfId="0" applyAlignment="1" applyFont="1" applyNumberFormat="1">
      <alignment horizontal="center" readingOrder="0" vertical="center"/>
    </xf>
    <xf borderId="0" fillId="7" fontId="2" numFmtId="170" xfId="0" applyAlignment="1" applyFill="1" applyFont="1" applyNumberFormat="1">
      <alignment horizontal="center" readingOrder="0" shrinkToFit="0" wrapText="1"/>
    </xf>
    <xf borderId="0" fillId="7" fontId="2" numFmtId="170" xfId="0" applyAlignment="1" applyFill="1" applyFont="1" applyNumberFormat="1">
      <alignment horizontal="center" readingOrder="0" vertical="center"/>
    </xf>
    <xf borderId="0" fillId="7" fontId="2" numFmtId="168" xfId="0" applyAlignment="1" applyFill="1" applyFont="1" applyNumberFormat="1">
      <alignment horizontal="center" readingOrder="0" shrinkToFit="0" wrapText="1"/>
    </xf>
    <xf borderId="0" fillId="15" fontId="5" numFmtId="0" xfId="0" applyAlignment="1" applyFill="1" applyFont="1">
      <alignment horizontal="center" readingOrder="0" shrinkToFit="0" vertical="center" wrapText="1"/>
    </xf>
    <xf borderId="6" fillId="7" fontId="5" numFmtId="168" xfId="0" applyAlignment="1" applyBorder="1" applyFill="1" applyFont="1" applyNumberFormat="1">
      <alignment horizontal="center" readingOrder="0" shrinkToFit="0" vertical="center" wrapText="1"/>
    </xf>
    <xf borderId="6" fillId="7" fontId="5" numFmtId="1" xfId="0" applyAlignment="1" applyBorder="1" applyFill="1" applyFont="1" applyNumberFormat="1">
      <alignment horizontal="center" readingOrder="0" shrinkToFit="0" vertical="center" wrapText="1"/>
    </xf>
    <xf borderId="6" fillId="7" fontId="6" numFmtId="0" xfId="0" applyAlignment="1" applyBorder="1" applyFill="1" applyFont="1">
      <alignment horizontal="center" readingOrder="0" vertical="center"/>
    </xf>
    <xf borderId="0" fillId="7" fontId="5" numFmtId="170" xfId="0" applyAlignment="1" applyFill="1" applyFont="1" applyNumberFormat="1">
      <alignment horizontal="center" readingOrder="0" vertical="center"/>
    </xf>
    <xf borderId="0" fillId="7" fontId="5" numFmtId="168" xfId="0" applyAlignment="1" applyFill="1" applyFont="1" applyNumberFormat="1">
      <alignment horizontal="center" readingOrder="0" shrinkToFit="0" wrapText="1"/>
    </xf>
    <xf borderId="0" fillId="7" fontId="10" numFmtId="0" xfId="0" applyFill="1" applyFont="1"/>
    <xf borderId="0" fillId="9" fontId="5" numFmtId="168" xfId="0" applyAlignment="1" applyFill="1" applyFont="1" applyNumberFormat="1">
      <alignment horizontal="center" readingOrder="0"/>
    </xf>
    <xf borderId="6" fillId="5" fontId="1" numFmtId="173" xfId="0" applyAlignment="1" applyBorder="1" applyFill="1" applyFont="1" applyNumberFormat="1">
      <alignment horizontal="center" readingOrder="0" vertical="center"/>
    </xf>
    <xf borderId="6" fillId="15" fontId="5" numFmtId="0" xfId="0" applyAlignment="1" applyBorder="1" applyFill="1" applyFont="1">
      <alignment horizontal="center" readingOrder="0"/>
    </xf>
    <xf borderId="6" fillId="13" fontId="1" numFmtId="0" xfId="0" applyAlignment="1" applyBorder="1" applyFill="1" applyFont="1">
      <alignment horizontal="center" readingOrder="0" shrinkToFit="0" vertical="center" wrapText="1"/>
    </xf>
    <xf borderId="5" fillId="0" fontId="5" numFmtId="0" xfId="0" applyAlignment="1" applyBorder="1" applyFont="1">
      <alignment horizontal="center" shrinkToFit="0" vertical="center" wrapText="1"/>
    </xf>
    <xf borderId="6" fillId="0" fontId="5" numFmtId="168" xfId="0" applyAlignment="1" applyBorder="1" applyFont="1" applyNumberFormat="1">
      <alignment horizontal="center" readingOrder="0" shrinkToFit="0" vertical="center" wrapText="1"/>
    </xf>
    <xf borderId="6" fillId="0" fontId="5" numFmtId="14" xfId="0" applyAlignment="1" applyBorder="1" applyFont="1" applyNumberFormat="1">
      <alignment horizontal="center" vertical="center"/>
    </xf>
    <xf borderId="6" fillId="0" fontId="6"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0" fillId="0" fontId="5" numFmtId="170" xfId="0" applyAlignment="1" applyFont="1" applyNumberFormat="1">
      <alignment horizontal="center" readingOrder="0" vertical="center"/>
    </xf>
    <xf borderId="0" fillId="0" fontId="5" numFmtId="168" xfId="0" applyAlignment="1" applyFont="1" applyNumberFormat="1">
      <alignment horizontal="center" shrinkToFit="0" wrapText="1"/>
    </xf>
    <xf borderId="6" fillId="7" fontId="11" numFmtId="164" xfId="0" applyAlignment="1" applyBorder="1" applyFill="1" applyFont="1" applyNumberFormat="1">
      <alignment horizontal="center" readingOrder="0" shrinkToFit="0" vertical="center" wrapText="1"/>
    </xf>
    <xf borderId="6" fillId="7" fontId="12" numFmtId="166" xfId="0" applyAlignment="1" applyBorder="1" applyFill="1" applyFont="1" applyNumberFormat="1">
      <alignment horizontal="center" vertical="center"/>
    </xf>
    <xf borderId="0" fillId="7" fontId="11" numFmtId="0" xfId="0" applyAlignment="1" applyFill="1" applyFont="1">
      <alignment horizontal="center" readingOrder="0" shrinkToFit="0" wrapText="1"/>
    </xf>
    <xf borderId="0" fillId="16" fontId="2" numFmtId="0" xfId="0" applyAlignment="1" applyFill="1" applyFont="1">
      <alignment horizontal="center" readingOrder="0" vertical="center"/>
    </xf>
    <xf borderId="5" fillId="16" fontId="2" numFmtId="0" xfId="0" applyAlignment="1" applyBorder="1" applyFill="1" applyFont="1">
      <alignment horizontal="center" readingOrder="0" vertical="center"/>
    </xf>
    <xf borderId="6" fillId="16" fontId="2" numFmtId="0" xfId="0" applyAlignment="1" applyBorder="1" applyFill="1" applyFont="1">
      <alignment horizontal="center" readingOrder="0" shrinkToFit="0" vertical="center" wrapText="1"/>
    </xf>
    <xf borderId="5" fillId="16" fontId="2" numFmtId="0" xfId="0" applyAlignment="1" applyBorder="1" applyFill="1" applyFont="1">
      <alignment horizontal="center" shrinkToFit="0" vertical="center" wrapText="1"/>
    </xf>
    <xf borderId="7" fillId="16" fontId="1" numFmtId="0" xfId="0" applyAlignment="1" applyBorder="1" applyFill="1" applyFont="1">
      <alignment horizontal="center" readingOrder="0" shrinkToFit="0" vertical="center" wrapText="1"/>
    </xf>
    <xf borderId="6" fillId="16" fontId="1" numFmtId="3" xfId="0" applyAlignment="1" applyBorder="1" applyFill="1" applyFont="1" applyNumberFormat="1">
      <alignment horizontal="center" readingOrder="0" vertical="center"/>
    </xf>
    <xf borderId="6" fillId="16" fontId="2" numFmtId="0" xfId="0" applyAlignment="1" applyBorder="1" applyFill="1" applyFont="1">
      <alignment horizontal="center" vertical="center"/>
    </xf>
    <xf borderId="6" fillId="16" fontId="2" numFmtId="164" xfId="0" applyAlignment="1" applyBorder="1" applyFill="1" applyFont="1" applyNumberFormat="1">
      <alignment horizontal="center" readingOrder="0" shrinkToFit="0" vertical="center" wrapText="1"/>
    </xf>
    <xf borderId="6" fillId="16" fontId="1" numFmtId="168" xfId="0" applyAlignment="1" applyBorder="1" applyFill="1" applyFont="1" applyNumberFormat="1">
      <alignment horizontal="center" shrinkToFit="0" vertical="center" wrapText="1"/>
    </xf>
    <xf borderId="6" fillId="16" fontId="2" numFmtId="168" xfId="0" applyAlignment="1" applyBorder="1" applyFill="1" applyFont="1" applyNumberFormat="1">
      <alignment horizontal="center" readingOrder="0" shrinkToFit="0" vertical="center" wrapText="1"/>
    </xf>
    <xf borderId="6" fillId="16" fontId="1" numFmtId="168" xfId="0" applyAlignment="1" applyBorder="1" applyFill="1" applyFont="1" applyNumberFormat="1">
      <alignment horizontal="center" vertical="center"/>
    </xf>
    <xf borderId="6" fillId="16" fontId="1" numFmtId="0" xfId="0" applyAlignment="1" applyBorder="1" applyFill="1" applyFont="1">
      <alignment horizontal="center" readingOrder="0" shrinkToFit="0" vertical="center" wrapText="1"/>
    </xf>
    <xf borderId="6" fillId="16" fontId="3" numFmtId="14" xfId="0" applyAlignment="1" applyBorder="1" applyFill="1" applyFont="1" applyNumberFormat="1">
      <alignment horizontal="center" vertical="center"/>
    </xf>
    <xf borderId="6" fillId="16" fontId="2" numFmtId="14" xfId="0" applyAlignment="1" applyBorder="1" applyFill="1" applyFont="1" applyNumberFormat="1">
      <alignment horizontal="center" readingOrder="0" vertical="center"/>
    </xf>
    <xf borderId="6" fillId="16" fontId="2" numFmtId="165" xfId="0" applyAlignment="1" applyBorder="1" applyFill="1" applyFont="1" applyNumberFormat="1">
      <alignment horizontal="center" readingOrder="0" shrinkToFit="0" vertical="center" wrapText="1"/>
    </xf>
    <xf borderId="5" fillId="16" fontId="2" numFmtId="1" xfId="0" applyAlignment="1" applyBorder="1" applyFill="1" applyFont="1" applyNumberFormat="1">
      <alignment horizontal="center" shrinkToFit="0" vertical="center" wrapText="1"/>
    </xf>
    <xf borderId="5" fillId="16" fontId="1" numFmtId="3" xfId="0" applyAlignment="1" applyBorder="1" applyFill="1" applyFont="1" applyNumberFormat="1">
      <alignment horizontal="center" readingOrder="0" vertical="center"/>
    </xf>
    <xf borderId="6" fillId="16" fontId="1" numFmtId="0" xfId="0" applyAlignment="1" applyBorder="1" applyFill="1" applyFont="1">
      <alignment horizontal="center" readingOrder="0" vertical="center"/>
    </xf>
    <xf borderId="6" fillId="16" fontId="6" numFmtId="166" xfId="0" applyAlignment="1" applyBorder="1" applyFill="1" applyFont="1" applyNumberFormat="1">
      <alignment horizontal="center" vertical="center"/>
    </xf>
    <xf borderId="6" fillId="16" fontId="7" numFmtId="0" xfId="0" applyAlignment="1" applyBorder="1" applyFill="1" applyFont="1">
      <alignment readingOrder="0"/>
    </xf>
    <xf borderId="5" fillId="16" fontId="2" numFmtId="0" xfId="0" applyAlignment="1" applyBorder="1" applyFill="1" applyFont="1">
      <alignment horizontal="center" readingOrder="0" shrinkToFit="0" wrapText="1"/>
    </xf>
    <xf borderId="0" fillId="16" fontId="2" numFmtId="170" xfId="0" applyAlignment="1" applyFill="1" applyFont="1" applyNumberFormat="1">
      <alignment horizontal="center" readingOrder="0" vertical="center"/>
    </xf>
    <xf borderId="0" fillId="16" fontId="2" numFmtId="0" xfId="0" applyAlignment="1" applyFill="1" applyFont="1">
      <alignment horizontal="center" shrinkToFit="0" wrapText="1"/>
    </xf>
    <xf borderId="0" fillId="16" fontId="2" numFmtId="168" xfId="0" applyAlignment="1" applyFill="1" applyFont="1" applyNumberFormat="1">
      <alignment horizontal="center" shrinkToFit="0" wrapText="1"/>
    </xf>
    <xf borderId="0" fillId="16" fontId="2" numFmtId="0" xfId="0" applyAlignment="1" applyFill="1" applyFont="1">
      <alignment horizontal="center" readingOrder="0" shrinkToFit="0" wrapText="1"/>
    </xf>
    <xf borderId="0" fillId="16" fontId="7" numFmtId="0" xfId="0" applyFill="1" applyFont="1"/>
    <xf borderId="0" fillId="13" fontId="2" numFmtId="0" xfId="0" applyAlignment="1" applyFill="1" applyFont="1">
      <alignment horizontal="center" readingOrder="0" vertical="center"/>
    </xf>
    <xf borderId="5" fillId="13" fontId="2" numFmtId="0" xfId="0" applyAlignment="1" applyBorder="1" applyFill="1" applyFont="1">
      <alignment horizontal="center" readingOrder="0" vertical="center"/>
    </xf>
    <xf borderId="6" fillId="13" fontId="2" numFmtId="0" xfId="0" applyAlignment="1" applyBorder="1" applyFill="1" applyFont="1">
      <alignment horizontal="center" readingOrder="0" shrinkToFit="0" vertical="center" wrapText="1"/>
    </xf>
    <xf borderId="5" fillId="13" fontId="2" numFmtId="0" xfId="0" applyAlignment="1" applyBorder="1" applyFill="1" applyFont="1">
      <alignment horizontal="center" shrinkToFit="0" vertical="center" wrapText="1"/>
    </xf>
    <xf borderId="7" fillId="13" fontId="1" numFmtId="0" xfId="0" applyAlignment="1" applyBorder="1" applyFill="1" applyFont="1">
      <alignment horizontal="center" readingOrder="0" shrinkToFit="0" vertical="center" wrapText="1"/>
    </xf>
    <xf borderId="6" fillId="13" fontId="1" numFmtId="3" xfId="0" applyAlignment="1" applyBorder="1" applyFill="1" applyFont="1" applyNumberFormat="1">
      <alignment horizontal="center" readingOrder="0" vertical="center"/>
    </xf>
    <xf borderId="6" fillId="13" fontId="2" numFmtId="0" xfId="0" applyAlignment="1" applyBorder="1" applyFill="1" applyFont="1">
      <alignment horizontal="center" vertical="center"/>
    </xf>
    <xf borderId="6" fillId="13" fontId="2" numFmtId="164" xfId="0" applyAlignment="1" applyBorder="1" applyFill="1" applyFont="1" applyNumberFormat="1">
      <alignment horizontal="center" readingOrder="0" shrinkToFit="0" vertical="center" wrapText="1"/>
    </xf>
    <xf borderId="6" fillId="13" fontId="1" numFmtId="168" xfId="0" applyAlignment="1" applyBorder="1" applyFill="1" applyFont="1" applyNumberFormat="1">
      <alignment horizontal="center" shrinkToFit="0" vertical="center" wrapText="1"/>
    </xf>
    <xf borderId="6" fillId="13" fontId="2" numFmtId="168" xfId="0" applyAlignment="1" applyBorder="1" applyFill="1" applyFont="1" applyNumberFormat="1">
      <alignment horizontal="center" readingOrder="0" shrinkToFit="0" vertical="center" wrapText="1"/>
    </xf>
    <xf borderId="6" fillId="13" fontId="1" numFmtId="168" xfId="0" applyAlignment="1" applyBorder="1" applyFill="1" applyFont="1" applyNumberFormat="1">
      <alignment horizontal="center" vertical="center"/>
    </xf>
    <xf borderId="6" fillId="13" fontId="3" numFmtId="14" xfId="0" applyAlignment="1" applyBorder="1" applyFill="1" applyFont="1" applyNumberFormat="1">
      <alignment horizontal="center" vertical="center"/>
    </xf>
    <xf borderId="6" fillId="13" fontId="2" numFmtId="14" xfId="0" applyAlignment="1" applyBorder="1" applyFill="1" applyFont="1" applyNumberFormat="1">
      <alignment horizontal="center" readingOrder="0" vertical="center"/>
    </xf>
    <xf borderId="6" fillId="13" fontId="2" numFmtId="165" xfId="0" applyAlignment="1" applyBorder="1" applyFill="1" applyFont="1" applyNumberFormat="1">
      <alignment horizontal="center" readingOrder="0" shrinkToFit="0" vertical="center" wrapText="1"/>
    </xf>
    <xf borderId="5" fillId="13" fontId="2" numFmtId="1" xfId="0" applyAlignment="1" applyBorder="1" applyFill="1" applyFont="1" applyNumberFormat="1">
      <alignment horizontal="center" shrinkToFit="0" vertical="center" wrapText="1"/>
    </xf>
    <xf borderId="5" fillId="13" fontId="1" numFmtId="3" xfId="0" applyAlignment="1" applyBorder="1" applyFill="1" applyFont="1" applyNumberFormat="1">
      <alignment horizontal="center" readingOrder="0" vertical="center"/>
    </xf>
    <xf borderId="6" fillId="13" fontId="1" numFmtId="0" xfId="0" applyAlignment="1" applyBorder="1" applyFill="1" applyFont="1">
      <alignment horizontal="center" readingOrder="0" vertical="center"/>
    </xf>
    <xf borderId="6" fillId="13" fontId="1" numFmtId="166" xfId="0" applyAlignment="1" applyBorder="1" applyFill="1" applyFont="1" applyNumberFormat="1">
      <alignment horizontal="center" vertical="center"/>
    </xf>
    <xf borderId="6" fillId="9" fontId="5" numFmtId="0" xfId="0" applyAlignment="1" applyBorder="1" applyFill="1" applyFont="1">
      <alignment horizontal="center" readingOrder="0" shrinkToFit="0" vertical="center" wrapText="1"/>
    </xf>
    <xf borderId="5" fillId="13" fontId="2" numFmtId="0" xfId="0" applyAlignment="1" applyBorder="1" applyFill="1" applyFont="1">
      <alignment horizontal="center" readingOrder="0" shrinkToFit="0" wrapText="1"/>
    </xf>
    <xf borderId="0" fillId="13" fontId="2" numFmtId="170" xfId="0" applyAlignment="1" applyFill="1" applyFont="1" applyNumberFormat="1">
      <alignment horizontal="center" readingOrder="0" vertical="center"/>
    </xf>
    <xf borderId="0" fillId="13" fontId="2" numFmtId="168" xfId="0" applyAlignment="1" applyFill="1" applyFont="1" applyNumberFormat="1">
      <alignment horizontal="center" shrinkToFit="0" wrapText="1"/>
    </xf>
    <xf borderId="0" fillId="13" fontId="2" numFmtId="0" xfId="0" applyAlignment="1" applyFill="1" applyFont="1">
      <alignment horizontal="center" readingOrder="0" shrinkToFit="0" wrapText="1"/>
    </xf>
    <xf borderId="0" fillId="13" fontId="7" numFmtId="0" xfId="0" applyFill="1" applyFont="1"/>
    <xf borderId="6" fillId="13" fontId="5" numFmtId="0" xfId="0" applyAlignment="1" applyBorder="1" applyFill="1" applyFont="1">
      <alignment horizontal="center" readingOrder="0" shrinkToFit="0" vertical="center" wrapText="1"/>
    </xf>
    <xf borderId="0" fillId="7" fontId="5" numFmtId="168" xfId="0" applyAlignment="1" applyFill="1" applyFont="1" applyNumberFormat="1">
      <alignment horizontal="center" shrinkToFit="0" wrapText="1"/>
    </xf>
    <xf borderId="6" fillId="7" fontId="5" numFmtId="0" xfId="0" applyAlignment="1" applyBorder="1" applyFill="1" applyFont="1">
      <alignment horizontal="center" readingOrder="0" shrinkToFit="0" wrapText="1"/>
    </xf>
    <xf borderId="6" fillId="7" fontId="7" numFmtId="0" xfId="0" applyAlignment="1" applyBorder="1" applyFill="1" applyFont="1">
      <alignment readingOrder="0" shrinkToFit="0" vertical="center" wrapText="1"/>
    </xf>
    <xf borderId="6" fillId="5" fontId="6" numFmtId="173" xfId="0" applyAlignment="1" applyBorder="1" applyFill="1" applyFont="1" applyNumberFormat="1">
      <alignment horizontal="center" readingOrder="0" vertical="center"/>
    </xf>
    <xf borderId="0" fillId="0" fontId="5" numFmtId="0" xfId="0" applyAlignment="1" applyFont="1">
      <alignment horizontal="center" shrinkToFit="0" wrapText="1"/>
    </xf>
    <xf borderId="6" fillId="7" fontId="1" numFmtId="3" xfId="0" applyAlignment="1" applyBorder="1" applyFill="1" applyFont="1" applyNumberFormat="1">
      <alignment horizontal="center" readingOrder="0" shrinkToFit="0" vertical="center" wrapText="1"/>
    </xf>
    <xf borderId="6" fillId="7" fontId="3" numFmtId="14" xfId="0" applyAlignment="1" applyBorder="1" applyFill="1" applyFont="1" applyNumberFormat="1">
      <alignment horizontal="center" shrinkToFit="0" vertical="center" wrapText="1"/>
    </xf>
    <xf borderId="6" fillId="7" fontId="2" numFmtId="14" xfId="0" applyAlignment="1" applyBorder="1" applyFill="1" applyFont="1" applyNumberFormat="1">
      <alignment horizontal="center" readingOrder="0" shrinkToFit="0" vertical="center" wrapText="1"/>
    </xf>
    <xf borderId="6" fillId="3" fontId="1" numFmtId="3" xfId="0" applyAlignment="1" applyBorder="1" applyFill="1" applyFont="1" applyNumberFormat="1">
      <alignment horizontal="center" readingOrder="0" shrinkToFit="0" vertical="center" wrapText="1"/>
    </xf>
    <xf borderId="6" fillId="5" fontId="1" numFmtId="173" xfId="0" applyAlignment="1" applyBorder="1" applyFill="1" applyFont="1" applyNumberFormat="1">
      <alignment horizontal="center" readingOrder="0" shrinkToFit="0" vertical="center" wrapText="1"/>
    </xf>
    <xf borderId="6" fillId="7" fontId="1" numFmtId="10" xfId="0" applyAlignment="1" applyBorder="1" applyFill="1" applyFont="1" applyNumberFormat="1">
      <alignment horizontal="center" shrinkToFit="0" vertical="center" wrapText="1"/>
    </xf>
    <xf borderId="0" fillId="7" fontId="2" numFmtId="170" xfId="0" applyAlignment="1" applyFill="1" applyFont="1" applyNumberFormat="1">
      <alignment horizontal="center" readingOrder="0" shrinkToFit="0" vertical="center" wrapText="1"/>
    </xf>
    <xf borderId="0" fillId="7" fontId="2" numFmtId="168" xfId="0" applyAlignment="1" applyFill="1" applyFont="1" applyNumberFormat="1">
      <alignment horizontal="center" shrinkToFit="0" vertical="center" wrapText="1"/>
    </xf>
    <xf borderId="0" fillId="7" fontId="7" numFmtId="0" xfId="0" applyAlignment="1" applyFill="1" applyFont="1">
      <alignment shrinkToFit="0" vertical="center" wrapText="1"/>
    </xf>
    <xf borderId="6" fillId="7" fontId="9" numFmtId="3" xfId="0" applyAlignment="1" applyBorder="1" applyFill="1" applyFont="1" applyNumberFormat="1">
      <alignment horizontal="center" readingOrder="0" vertical="center"/>
    </xf>
    <xf borderId="0" fillId="7" fontId="2" numFmtId="167" xfId="0" applyAlignment="1" applyFill="1" applyFont="1" applyNumberFormat="1">
      <alignment horizontal="center" readingOrder="0" shrinkToFit="0" wrapText="1"/>
    </xf>
    <xf borderId="5" fillId="0" fontId="2" numFmtId="170" xfId="0" applyAlignment="1" applyBorder="1" applyFont="1" applyNumberFormat="1">
      <alignment horizontal="center" readingOrder="0" vertical="center"/>
    </xf>
    <xf borderId="0" fillId="17" fontId="5" numFmtId="0" xfId="0" applyAlignment="1" applyFill="1" applyFont="1">
      <alignment horizontal="center" readingOrder="0" shrinkToFit="0" vertical="center" wrapText="1"/>
    </xf>
    <xf borderId="6" fillId="0" fontId="12" numFmtId="166" xfId="0" applyAlignment="1" applyBorder="1" applyFont="1" applyNumberFormat="1">
      <alignment horizontal="center" readingOrder="0" vertical="center"/>
    </xf>
    <xf borderId="6" fillId="0" fontId="12" numFmtId="166" xfId="0" applyAlignment="1" applyBorder="1" applyFont="1" applyNumberFormat="1">
      <alignment horizontal="center" vertical="center"/>
    </xf>
    <xf borderId="0" fillId="18" fontId="5" numFmtId="0" xfId="0" applyAlignment="1" applyFill="1" applyFont="1">
      <alignment horizontal="center" readingOrder="0" shrinkToFit="0" vertical="center" wrapText="1"/>
    </xf>
    <xf borderId="5" fillId="19" fontId="2" numFmtId="0" xfId="0" applyAlignment="1" applyBorder="1" applyFill="1" applyFont="1">
      <alignment horizontal="center" readingOrder="0" vertical="center"/>
    </xf>
    <xf borderId="6" fillId="19" fontId="2" numFmtId="0" xfId="0" applyAlignment="1" applyBorder="1" applyFill="1" applyFont="1">
      <alignment horizontal="center" readingOrder="0" shrinkToFit="0" vertical="center" wrapText="1"/>
    </xf>
    <xf borderId="5" fillId="19" fontId="2" numFmtId="0" xfId="0" applyAlignment="1" applyBorder="1" applyFill="1" applyFont="1">
      <alignment horizontal="center" readingOrder="0" shrinkToFit="0" vertical="center" wrapText="1"/>
    </xf>
    <xf borderId="6" fillId="20" fontId="2" numFmtId="14" xfId="0" applyAlignment="1" applyBorder="1" applyFill="1" applyFont="1" applyNumberFormat="1">
      <alignment horizontal="center" readingOrder="0" vertical="center"/>
    </xf>
    <xf borderId="6" fillId="14" fontId="2" numFmtId="14" xfId="0" applyAlignment="1" applyBorder="1" applyFill="1" applyFont="1" applyNumberFormat="1">
      <alignment horizontal="center" readingOrder="0" vertical="center"/>
    </xf>
    <xf borderId="6" fillId="14" fontId="1" numFmtId="3" xfId="0" applyAlignment="1" applyBorder="1" applyFill="1" applyFont="1" applyNumberFormat="1">
      <alignment horizontal="center" readingOrder="0" vertical="center"/>
    </xf>
    <xf borderId="6" fillId="20" fontId="2" numFmtId="0" xfId="0" applyAlignment="1" applyBorder="1" applyFill="1" applyFont="1">
      <alignment horizontal="center" readingOrder="0" shrinkToFit="0" vertical="center" wrapText="1"/>
    </xf>
    <xf borderId="0" fillId="0" fontId="7" numFmtId="0" xfId="0" applyAlignment="1" applyFont="1">
      <alignment shrinkToFit="0" vertical="center" wrapText="1"/>
    </xf>
    <xf borderId="0" fillId="0" fontId="7" numFmtId="0" xfId="0" applyFont="1"/>
    <xf borderId="0" fillId="0" fontId="7" numFmtId="164" xfId="0" applyFont="1" applyNumberFormat="1"/>
    <xf borderId="0" fillId="0" fontId="7" numFmtId="165" xfId="0" applyFont="1" applyNumberFormat="1"/>
    <xf borderId="0" fillId="0" fontId="2" numFmtId="2" xfId="0" applyFont="1" applyNumberFormat="1"/>
    <xf borderId="0" fillId="4" fontId="7" numFmtId="0" xfId="0" applyFill="1" applyFont="1"/>
    <xf borderId="0" fillId="5" fontId="7" numFmtId="0" xfId="0" applyFill="1" applyFont="1"/>
    <xf borderId="0" fillId="0" fontId="7" numFmtId="166" xfId="0" applyFont="1" applyNumberFormat="1"/>
    <xf borderId="0" fillId="0" fontId="7" numFmtId="167" xfId="0" applyFont="1" applyNumberFormat="1"/>
  </cellXfs>
  <cellStyles count="1">
    <cellStyle xfId="0" name="Normal" builtinId="0"/>
  </cellStyles>
  <dxfs count="1">
    <dxf>
      <font/>
      <fill>
        <patternFill patternType="solid">
          <fgColor rgb="FFECF5E7"/>
          <bgColor rgb="FFECF5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7.71"/>
    <col customWidth="1" min="2" max="2" width="19.57"/>
    <col customWidth="1" min="3" max="3" width="16.0"/>
    <col customWidth="1" min="4" max="4" width="17.86"/>
    <col customWidth="1" min="5" max="5" width="21.14"/>
    <col customWidth="1" min="6" max="6" width="18.86"/>
    <col customWidth="1" min="7" max="7" width="22.0"/>
    <col customWidth="1" min="8" max="8" width="26.57"/>
    <col customWidth="1" min="9" max="9" width="18.14"/>
    <col customWidth="1" min="10" max="10" width="38.43"/>
    <col customWidth="1" min="11" max="11" width="98.29"/>
    <col customWidth="1" min="12" max="12" width="15.71"/>
    <col customWidth="1" min="13" max="13" width="15.29"/>
    <col customWidth="1" min="14" max="14" width="13.71"/>
    <col customWidth="1" min="15" max="15" width="21.14"/>
    <col customWidth="1" min="16" max="16" width="16.14"/>
    <col customWidth="1" min="17" max="17" width="19.71"/>
    <col customWidth="1" min="18" max="18" width="15.29"/>
    <col customWidth="1" min="19" max="19" width="17.57"/>
    <col customWidth="1" min="20" max="20" width="16.0"/>
    <col customWidth="1" min="21" max="21" width="17.14"/>
    <col customWidth="1" min="22" max="22" width="16.71"/>
    <col customWidth="1" min="23" max="23" width="15.0"/>
    <col customWidth="1" min="24" max="24" width="12.57"/>
    <col customWidth="1" min="25" max="25" width="10.86"/>
    <col customWidth="1" min="26" max="26" width="12.86"/>
    <col customWidth="1" min="27" max="27" width="14.29"/>
    <col customWidth="1" min="28" max="28" width="19.43"/>
    <col customWidth="1" min="29" max="29" width="11.71"/>
    <col customWidth="1" min="30" max="34" width="15.29"/>
    <col customWidth="1" min="35" max="35" width="20.86"/>
    <col customWidth="1" min="36" max="41" width="16.43"/>
    <col customWidth="1" min="42" max="42" width="15.29"/>
    <col customWidth="1" min="43" max="43" width="16.43"/>
    <col customWidth="1" min="44" max="44" width="18.57"/>
    <col customWidth="1" min="45" max="45" width="20.14"/>
    <col customWidth="1" min="46" max="46" width="14.71"/>
    <col customWidth="1" min="47" max="47" width="20.0"/>
    <col customWidth="1" min="48" max="48" width="59.57"/>
    <col customWidth="1" min="49" max="49" width="20.43"/>
    <col customWidth="1" min="50" max="50" width="24.43"/>
    <col customWidth="1" min="51" max="52" width="21.0"/>
    <col customWidth="1" min="53" max="53" width="19.71"/>
    <col customWidth="1" min="54" max="54" width="32.14"/>
    <col customWidth="1" min="55" max="55" width="22.14"/>
    <col customWidth="1" min="56" max="56" width="14.71"/>
    <col customWidth="1" min="57" max="57" width="19.29"/>
    <col customWidth="1" min="58" max="58" width="22.86"/>
    <col customWidth="1" min="59" max="59" width="22.71"/>
    <col customWidth="1" min="60" max="60" width="14.57"/>
  </cols>
  <sheetData>
    <row r="1" ht="82.5" customHeight="1">
      <c r="A1" s="1"/>
      <c r="B1" s="2" t="s">
        <v>0</v>
      </c>
      <c r="C1" s="3" t="s">
        <v>1</v>
      </c>
      <c r="D1" s="4" t="s">
        <v>2</v>
      </c>
      <c r="E1" s="4" t="s">
        <v>3</v>
      </c>
      <c r="F1" s="4" t="s">
        <v>4</v>
      </c>
      <c r="G1" s="5" t="s">
        <v>5</v>
      </c>
      <c r="H1" s="6" t="s">
        <v>6</v>
      </c>
      <c r="I1" s="4" t="s">
        <v>7</v>
      </c>
      <c r="J1" s="4" t="s">
        <v>8</v>
      </c>
      <c r="K1" s="3" t="s">
        <v>9</v>
      </c>
      <c r="L1" s="3" t="s">
        <v>10</v>
      </c>
      <c r="M1" s="6" t="s">
        <v>11</v>
      </c>
      <c r="N1" s="6" t="s">
        <v>12</v>
      </c>
      <c r="O1" s="7" t="s">
        <v>13</v>
      </c>
      <c r="P1" s="3" t="s">
        <v>14</v>
      </c>
      <c r="Q1" s="4" t="s">
        <v>15</v>
      </c>
      <c r="R1" s="3" t="s">
        <v>16</v>
      </c>
      <c r="S1" s="3" t="s">
        <v>17</v>
      </c>
      <c r="T1" s="3" t="s">
        <v>18</v>
      </c>
      <c r="U1" s="3" t="s">
        <v>19</v>
      </c>
      <c r="V1" s="3" t="s">
        <v>20</v>
      </c>
      <c r="W1" s="3" t="s">
        <v>21</v>
      </c>
      <c r="X1" s="3" t="s">
        <v>22</v>
      </c>
      <c r="Y1" s="3" t="s">
        <v>23</v>
      </c>
      <c r="Z1" s="8" t="s">
        <v>24</v>
      </c>
      <c r="AA1" s="3" t="s">
        <v>25</v>
      </c>
      <c r="AB1" s="9" t="s">
        <v>26</v>
      </c>
      <c r="AC1" s="10" t="s">
        <v>27</v>
      </c>
      <c r="AD1" s="11" t="s">
        <v>28</v>
      </c>
      <c r="AE1" s="11" t="s">
        <v>29</v>
      </c>
      <c r="AF1" s="11" t="s">
        <v>30</v>
      </c>
      <c r="AG1" s="11" t="s">
        <v>31</v>
      </c>
      <c r="AH1" s="12" t="s">
        <v>32</v>
      </c>
      <c r="AI1" s="13" t="s">
        <v>33</v>
      </c>
      <c r="AJ1" s="12"/>
      <c r="AK1" s="14" t="s">
        <v>34</v>
      </c>
      <c r="AL1" s="14" t="s">
        <v>35</v>
      </c>
      <c r="AM1" s="14" t="s">
        <v>36</v>
      </c>
      <c r="AN1" s="14" t="s">
        <v>37</v>
      </c>
      <c r="AO1" s="14" t="s">
        <v>38</v>
      </c>
      <c r="AP1" s="13" t="s">
        <v>39</v>
      </c>
      <c r="AQ1" s="6" t="s">
        <v>40</v>
      </c>
      <c r="AR1" s="3" t="s">
        <v>41</v>
      </c>
      <c r="AS1" s="3" t="s">
        <v>42</v>
      </c>
      <c r="AT1" s="15" t="s">
        <v>43</v>
      </c>
      <c r="AU1" s="15" t="s">
        <v>44</v>
      </c>
      <c r="AV1" s="3" t="s">
        <v>45</v>
      </c>
      <c r="AW1" s="16" t="s">
        <v>46</v>
      </c>
      <c r="AX1" s="17" t="s">
        <v>47</v>
      </c>
      <c r="AY1" s="18" t="s">
        <v>48</v>
      </c>
      <c r="AZ1" s="19" t="s">
        <v>49</v>
      </c>
      <c r="BA1" s="19" t="s">
        <v>50</v>
      </c>
      <c r="BB1" s="19" t="s">
        <v>51</v>
      </c>
      <c r="BC1" s="19" t="s">
        <v>52</v>
      </c>
      <c r="BD1" s="19" t="s">
        <v>53</v>
      </c>
      <c r="BE1" s="19" t="s">
        <v>54</v>
      </c>
      <c r="BF1" s="20" t="s">
        <v>55</v>
      </c>
      <c r="BG1" s="20" t="s">
        <v>56</v>
      </c>
      <c r="BH1" s="20"/>
    </row>
    <row r="2" ht="132.0" customHeight="1">
      <c r="A2" s="21">
        <v>1.0</v>
      </c>
      <c r="B2" s="22">
        <v>2022.0</v>
      </c>
      <c r="C2" s="23" t="s">
        <v>57</v>
      </c>
      <c r="D2" s="24" t="s">
        <v>58</v>
      </c>
      <c r="E2" s="24" t="s">
        <v>59</v>
      </c>
      <c r="F2" s="25">
        <v>4.600014884E9</v>
      </c>
      <c r="G2" s="24" t="s">
        <v>60</v>
      </c>
      <c r="H2" s="24" t="str">
        <f t="shared" ref="H2:H3" si="1">G2</f>
        <v>NECOCLÍ</v>
      </c>
      <c r="I2" s="24" t="s">
        <v>61</v>
      </c>
      <c r="J2" s="24" t="s">
        <v>62</v>
      </c>
      <c r="K2" s="24" t="s">
        <v>63</v>
      </c>
      <c r="L2" s="26">
        <v>7.0</v>
      </c>
      <c r="M2" s="27">
        <v>100.0</v>
      </c>
      <c r="N2" s="28">
        <v>0.0</v>
      </c>
      <c r="O2" s="29">
        <v>2.5E9</v>
      </c>
      <c r="P2" s="30">
        <v>3.12518659E8</v>
      </c>
      <c r="Q2" s="31">
        <f t="shared" ref="Q2:Q360" si="2">+SUM(O2+P2)</f>
        <v>2812518659</v>
      </c>
      <c r="R2" s="32">
        <v>0.0</v>
      </c>
      <c r="S2" s="32">
        <v>0.0</v>
      </c>
      <c r="T2" s="33">
        <f t="shared" ref="T2:T360" si="3">+SUM(Q2:S2)</f>
        <v>2812518659</v>
      </c>
      <c r="U2" s="34" t="s">
        <v>64</v>
      </c>
      <c r="V2" s="34" t="s">
        <v>64</v>
      </c>
      <c r="W2" s="35"/>
      <c r="X2" s="36">
        <v>44923.0</v>
      </c>
      <c r="Y2" s="36">
        <v>45227.0</v>
      </c>
      <c r="Z2" s="37">
        <v>0.0</v>
      </c>
      <c r="AA2" s="38">
        <v>0.0</v>
      </c>
      <c r="AB2" s="36">
        <v>45453.0</v>
      </c>
      <c r="AC2" s="38">
        <f t="shared" ref="AC2:AC360" si="4">AB2 - TODAY()</f>
        <v>-834</v>
      </c>
      <c r="AD2" s="22"/>
      <c r="AE2" s="22"/>
      <c r="AF2" s="22"/>
      <c r="AG2" s="22"/>
      <c r="AH2" s="39">
        <f t="shared" ref="AH2:AH5" si="5">AD2+AE2+AF2+AG2</f>
        <v>0</v>
      </c>
      <c r="AI2" s="22">
        <v>100.0</v>
      </c>
      <c r="AJ2" s="28"/>
      <c r="AK2" s="28"/>
      <c r="AL2" s="28"/>
      <c r="AM2" s="28"/>
      <c r="AN2" s="28"/>
      <c r="AO2" s="28">
        <v>0.0</v>
      </c>
      <c r="AP2" s="40">
        <v>100.0</v>
      </c>
      <c r="AQ2" s="28">
        <v>0.0</v>
      </c>
      <c r="AR2" s="30">
        <v>2.5E9</v>
      </c>
      <c r="AS2" s="30">
        <v>2.5E9</v>
      </c>
      <c r="AT2" s="41">
        <f t="shared" ref="AT2:AT3" si="6">AP2/M2</f>
        <v>1</v>
      </c>
      <c r="AU2" s="41">
        <f t="shared" ref="AU2:AU3" si="7">AS2/AR2</f>
        <v>1</v>
      </c>
      <c r="AV2" s="24" t="s">
        <v>65</v>
      </c>
      <c r="AW2" s="42" t="s">
        <v>66</v>
      </c>
      <c r="AX2" s="43"/>
      <c r="AY2" s="42" t="s">
        <v>67</v>
      </c>
      <c r="AZ2" s="44" t="s">
        <v>68</v>
      </c>
      <c r="BA2" s="44" t="s">
        <v>68</v>
      </c>
      <c r="BB2" s="45"/>
      <c r="BC2" s="46"/>
      <c r="BD2" s="44" t="s">
        <v>67</v>
      </c>
      <c r="BE2" s="47"/>
      <c r="BF2" s="48"/>
      <c r="BG2" s="48"/>
      <c r="BH2" s="48"/>
    </row>
    <row r="3" ht="132.0" customHeight="1">
      <c r="A3" s="21">
        <v>2.0</v>
      </c>
      <c r="B3" s="22">
        <v>2023.0</v>
      </c>
      <c r="C3" s="23" t="s">
        <v>57</v>
      </c>
      <c r="D3" s="24" t="s">
        <v>58</v>
      </c>
      <c r="E3" s="24" t="s">
        <v>59</v>
      </c>
      <c r="F3" s="25">
        <v>4.600015738E9</v>
      </c>
      <c r="G3" s="24" t="s">
        <v>69</v>
      </c>
      <c r="H3" s="24" t="str">
        <f t="shared" si="1"/>
        <v>VIGÍA DEL FUERTE</v>
      </c>
      <c r="I3" s="24" t="s">
        <v>61</v>
      </c>
      <c r="J3" s="24" t="s">
        <v>70</v>
      </c>
      <c r="K3" s="22" t="s">
        <v>71</v>
      </c>
      <c r="L3" s="26">
        <v>7.0</v>
      </c>
      <c r="M3" s="27">
        <v>100.0</v>
      </c>
      <c r="N3" s="28">
        <v>0.0</v>
      </c>
      <c r="O3" s="29">
        <v>2.719651693E9</v>
      </c>
      <c r="P3" s="30">
        <v>1.0E9</v>
      </c>
      <c r="Q3" s="31">
        <f t="shared" si="2"/>
        <v>3719651693</v>
      </c>
      <c r="R3" s="30">
        <v>4.19055213E8</v>
      </c>
      <c r="S3" s="30">
        <v>2.0E8</v>
      </c>
      <c r="T3" s="33">
        <f t="shared" si="3"/>
        <v>4338706906</v>
      </c>
      <c r="U3" s="34" t="s">
        <v>64</v>
      </c>
      <c r="V3" s="34" t="s">
        <v>64</v>
      </c>
      <c r="W3" s="35"/>
      <c r="X3" s="36">
        <v>45105.0</v>
      </c>
      <c r="Y3" s="36">
        <v>45319.0</v>
      </c>
      <c r="Z3" s="49">
        <v>5.0</v>
      </c>
      <c r="AA3" s="26">
        <v>3.0</v>
      </c>
      <c r="AB3" s="36">
        <v>45669.0</v>
      </c>
      <c r="AC3" s="38">
        <f t="shared" si="4"/>
        <v>-618</v>
      </c>
      <c r="AD3" s="22"/>
      <c r="AE3" s="22"/>
      <c r="AF3" s="22"/>
      <c r="AG3" s="22"/>
      <c r="AH3" s="39">
        <f t="shared" si="5"/>
        <v>0</v>
      </c>
      <c r="AI3" s="22">
        <v>95.0</v>
      </c>
      <c r="AJ3" s="28"/>
      <c r="AK3" s="28"/>
      <c r="AL3" s="28"/>
      <c r="AM3" s="28"/>
      <c r="AN3" s="28"/>
      <c r="AO3" s="28">
        <v>0.0</v>
      </c>
      <c r="AP3" s="40">
        <v>85.0</v>
      </c>
      <c r="AQ3" s="28">
        <v>0.0</v>
      </c>
      <c r="AR3" s="29">
        <f>2719651693+619055213</f>
        <v>3338706906</v>
      </c>
      <c r="AS3" s="29">
        <v>3.138706906E9</v>
      </c>
      <c r="AT3" s="41">
        <f t="shared" si="6"/>
        <v>0.85</v>
      </c>
      <c r="AU3" s="41">
        <f t="shared" si="7"/>
        <v>0.9400965686</v>
      </c>
      <c r="AV3" s="24" t="s">
        <v>72</v>
      </c>
      <c r="AW3" s="42" t="s">
        <v>66</v>
      </c>
      <c r="AX3" s="43"/>
      <c r="AY3" s="42" t="s">
        <v>67</v>
      </c>
      <c r="AZ3" s="44" t="s">
        <v>68</v>
      </c>
      <c r="BA3" s="44" t="s">
        <v>68</v>
      </c>
      <c r="BB3" s="45"/>
      <c r="BC3" s="46"/>
      <c r="BD3" s="44" t="s">
        <v>67</v>
      </c>
      <c r="BE3" s="47"/>
      <c r="BF3" s="48"/>
      <c r="BG3" s="48"/>
      <c r="BH3" s="48"/>
    </row>
    <row r="4" ht="132.0" customHeight="1">
      <c r="A4" s="50">
        <v>3.0</v>
      </c>
      <c r="B4" s="51">
        <v>2024.0</v>
      </c>
      <c r="C4" s="52" t="s">
        <v>73</v>
      </c>
      <c r="D4" s="52" t="s">
        <v>74</v>
      </c>
      <c r="E4" s="52" t="s">
        <v>75</v>
      </c>
      <c r="F4" s="53" t="s">
        <v>76</v>
      </c>
      <c r="G4" s="52" t="s">
        <v>77</v>
      </c>
      <c r="H4" s="52" t="s">
        <v>77</v>
      </c>
      <c r="I4" s="52" t="s">
        <v>78</v>
      </c>
      <c r="J4" s="52" t="s">
        <v>79</v>
      </c>
      <c r="K4" s="52" t="s">
        <v>80</v>
      </c>
      <c r="L4" s="54">
        <v>6.0</v>
      </c>
      <c r="M4" s="55">
        <v>1000.0</v>
      </c>
      <c r="N4" s="56"/>
      <c r="O4" s="57">
        <v>3.5E8</v>
      </c>
      <c r="P4" s="58">
        <v>4.63793974E8</v>
      </c>
      <c r="Q4" s="59">
        <f t="shared" si="2"/>
        <v>813793974</v>
      </c>
      <c r="R4" s="60">
        <v>0.0</v>
      </c>
      <c r="S4" s="60">
        <v>0.0</v>
      </c>
      <c r="T4" s="61">
        <f t="shared" si="3"/>
        <v>813793974</v>
      </c>
      <c r="U4" s="62" t="s">
        <v>64</v>
      </c>
      <c r="V4" s="62" t="s">
        <v>64</v>
      </c>
      <c r="W4" s="63"/>
      <c r="X4" s="64">
        <v>45694.0</v>
      </c>
      <c r="Y4" s="64">
        <v>45875.0</v>
      </c>
      <c r="Z4" s="65">
        <v>3.0</v>
      </c>
      <c r="AA4" s="66">
        <v>0.0</v>
      </c>
      <c r="AB4" s="64">
        <v>46233.0</v>
      </c>
      <c r="AC4" s="66">
        <f t="shared" si="4"/>
        <v>-54</v>
      </c>
      <c r="AD4" s="67"/>
      <c r="AE4" s="68">
        <v>300.0</v>
      </c>
      <c r="AF4" s="68">
        <v>400.0</v>
      </c>
      <c r="AG4" s="68"/>
      <c r="AH4" s="69">
        <f t="shared" si="5"/>
        <v>700</v>
      </c>
      <c r="AI4" s="68">
        <v>700.0</v>
      </c>
      <c r="AJ4" s="70">
        <f t="shared" ref="AJ4:AJ10" si="8">AH4-AI4</f>
        <v>0</v>
      </c>
      <c r="AK4" s="56"/>
      <c r="AL4" s="56"/>
      <c r="AM4" s="56"/>
      <c r="AN4" s="56"/>
      <c r="AO4" s="56">
        <v>0.0</v>
      </c>
      <c r="AP4" s="40">
        <v>700.0</v>
      </c>
      <c r="AQ4" s="56">
        <v>0.0</v>
      </c>
      <c r="AR4" s="58">
        <v>3.5E8</v>
      </c>
      <c r="AS4" s="58">
        <v>2.97618109E8</v>
      </c>
      <c r="AT4" s="71">
        <v>0.7</v>
      </c>
      <c r="AU4" s="72">
        <v>1.0</v>
      </c>
      <c r="AV4" s="73" t="s">
        <v>81</v>
      </c>
      <c r="AW4" s="74"/>
      <c r="AX4" s="75"/>
      <c r="AY4" s="74"/>
      <c r="AZ4" s="76"/>
      <c r="BA4" s="76"/>
      <c r="BB4" s="76"/>
      <c r="BC4" s="77"/>
      <c r="BD4" s="76"/>
      <c r="BE4" s="74"/>
      <c r="BF4" s="78"/>
      <c r="BG4" s="78"/>
      <c r="BH4" s="78"/>
    </row>
    <row r="5" ht="110.25" customHeight="1">
      <c r="A5" s="21">
        <v>4.0</v>
      </c>
      <c r="B5" s="28">
        <v>2024.0</v>
      </c>
      <c r="C5" s="79" t="s">
        <v>82</v>
      </c>
      <c r="D5" s="80" t="s">
        <v>74</v>
      </c>
      <c r="E5" s="80" t="s">
        <v>75</v>
      </c>
      <c r="F5" s="25" t="s">
        <v>83</v>
      </c>
      <c r="G5" s="24" t="s">
        <v>84</v>
      </c>
      <c r="H5" s="24" t="s">
        <v>84</v>
      </c>
      <c r="I5" s="24" t="s">
        <v>85</v>
      </c>
      <c r="J5" s="24" t="s">
        <v>86</v>
      </c>
      <c r="K5" s="24" t="s">
        <v>87</v>
      </c>
      <c r="L5" s="24">
        <v>8.0</v>
      </c>
      <c r="M5" s="81">
        <v>1000.0</v>
      </c>
      <c r="N5" s="28">
        <v>0.0</v>
      </c>
      <c r="O5" s="82">
        <v>0.0</v>
      </c>
      <c r="P5" s="82">
        <v>0.0</v>
      </c>
      <c r="Q5" s="31">
        <f t="shared" si="2"/>
        <v>0</v>
      </c>
      <c r="R5" s="32">
        <v>0.0</v>
      </c>
      <c r="S5" s="32">
        <v>0.0</v>
      </c>
      <c r="T5" s="33">
        <f t="shared" si="3"/>
        <v>0</v>
      </c>
      <c r="U5" s="62" t="s">
        <v>64</v>
      </c>
      <c r="V5" s="83" t="s">
        <v>88</v>
      </c>
      <c r="W5" s="84"/>
      <c r="X5" s="85">
        <v>45686.0</v>
      </c>
      <c r="Y5" s="85">
        <v>45867.0</v>
      </c>
      <c r="Z5" s="49">
        <v>0.0</v>
      </c>
      <c r="AA5" s="38">
        <v>0.0</v>
      </c>
      <c r="AB5" s="85">
        <v>45867.0</v>
      </c>
      <c r="AC5" s="38">
        <f t="shared" si="4"/>
        <v>-420</v>
      </c>
      <c r="AD5" s="27"/>
      <c r="AE5" s="27"/>
      <c r="AF5" s="27"/>
      <c r="AG5" s="27"/>
      <c r="AH5" s="86">
        <f t="shared" si="5"/>
        <v>0</v>
      </c>
      <c r="AI5" s="87">
        <v>0.0</v>
      </c>
      <c r="AJ5" s="88">
        <f t="shared" si="8"/>
        <v>0</v>
      </c>
      <c r="AK5" s="28"/>
      <c r="AL5" s="28"/>
      <c r="AM5" s="28"/>
      <c r="AN5" s="28"/>
      <c r="AO5" s="28">
        <v>0.0</v>
      </c>
      <c r="AP5" s="87">
        <v>0.0</v>
      </c>
      <c r="AQ5" s="28">
        <v>0.0</v>
      </c>
      <c r="AR5" s="89">
        <v>3.5E8</v>
      </c>
      <c r="AS5" s="29">
        <v>0.0</v>
      </c>
      <c r="AT5" s="90">
        <f t="shared" ref="AT5:AT20" si="9">AP5/M5</f>
        <v>0</v>
      </c>
      <c r="AU5" s="90">
        <f t="shared" ref="AU5:AU34" si="10">AS5/AR5</f>
        <v>0</v>
      </c>
      <c r="AV5" s="24" t="s">
        <v>89</v>
      </c>
      <c r="AW5" s="91"/>
      <c r="AX5" s="43"/>
      <c r="AY5" s="91"/>
      <c r="AZ5" s="92"/>
      <c r="BA5" s="92"/>
      <c r="BB5" s="92"/>
      <c r="BC5" s="46"/>
      <c r="BD5" s="92"/>
      <c r="BE5" s="47"/>
      <c r="BF5" s="93"/>
      <c r="BG5" s="48"/>
      <c r="BH5" s="48"/>
    </row>
    <row r="6" ht="110.25" customHeight="1">
      <c r="A6" s="21">
        <v>5.0</v>
      </c>
      <c r="B6" s="22">
        <v>2024.0</v>
      </c>
      <c r="C6" s="24" t="s">
        <v>90</v>
      </c>
      <c r="D6" s="80" t="s">
        <v>74</v>
      </c>
      <c r="E6" s="80" t="s">
        <v>75</v>
      </c>
      <c r="F6" s="25" t="s">
        <v>91</v>
      </c>
      <c r="G6" s="24" t="s">
        <v>92</v>
      </c>
      <c r="H6" s="24" t="s">
        <v>92</v>
      </c>
      <c r="I6" s="24" t="s">
        <v>93</v>
      </c>
      <c r="J6" s="24" t="s">
        <v>94</v>
      </c>
      <c r="K6" s="24" t="s">
        <v>95</v>
      </c>
      <c r="L6" s="24">
        <v>4.0</v>
      </c>
      <c r="M6" s="27">
        <v>1000.0</v>
      </c>
      <c r="N6" s="28">
        <v>0.0</v>
      </c>
      <c r="O6" s="82">
        <v>3.5E8</v>
      </c>
      <c r="P6" s="82">
        <v>6.72054008E8</v>
      </c>
      <c r="Q6" s="31">
        <f t="shared" si="2"/>
        <v>1022054008</v>
      </c>
      <c r="R6" s="32">
        <v>0.0</v>
      </c>
      <c r="S6" s="32">
        <v>0.0</v>
      </c>
      <c r="T6" s="33">
        <f t="shared" si="3"/>
        <v>1022054008</v>
      </c>
      <c r="U6" s="94" t="s">
        <v>64</v>
      </c>
      <c r="V6" s="94" t="s">
        <v>64</v>
      </c>
      <c r="W6" s="84"/>
      <c r="X6" s="85">
        <v>45699.0</v>
      </c>
      <c r="Y6" s="85">
        <v>45819.0</v>
      </c>
      <c r="Z6" s="49">
        <v>0.0</v>
      </c>
      <c r="AA6" s="38">
        <v>0.0</v>
      </c>
      <c r="AB6" s="85">
        <v>45819.0</v>
      </c>
      <c r="AC6" s="38">
        <f t="shared" si="4"/>
        <v>-468</v>
      </c>
      <c r="AD6" s="27"/>
      <c r="AE6" s="27">
        <v>920.0</v>
      </c>
      <c r="AF6" s="27">
        <v>30.0</v>
      </c>
      <c r="AH6" s="95">
        <f>AD6+AE6+AF6</f>
        <v>950</v>
      </c>
      <c r="AI6" s="27">
        <v>950.0</v>
      </c>
      <c r="AJ6" s="88">
        <f t="shared" si="8"/>
        <v>0</v>
      </c>
      <c r="AK6" s="28"/>
      <c r="AL6" s="28"/>
      <c r="AM6" s="28"/>
      <c r="AN6" s="28"/>
      <c r="AO6" s="28">
        <v>0.0</v>
      </c>
      <c r="AP6" s="87">
        <v>950.0</v>
      </c>
      <c r="AQ6" s="28">
        <v>0.0</v>
      </c>
      <c r="AR6" s="29">
        <v>3.5E8</v>
      </c>
      <c r="AS6" s="29">
        <v>3.5E8</v>
      </c>
      <c r="AT6" s="96">
        <f t="shared" si="9"/>
        <v>0.95</v>
      </c>
      <c r="AU6" s="90">
        <f t="shared" si="10"/>
        <v>1</v>
      </c>
      <c r="AV6" s="97" t="s">
        <v>96</v>
      </c>
      <c r="AW6" s="91"/>
      <c r="AX6" s="43"/>
      <c r="AY6" s="91"/>
      <c r="AZ6" s="92"/>
      <c r="BA6" s="92"/>
      <c r="BB6" s="92"/>
      <c r="BC6" s="46"/>
      <c r="BD6" s="92"/>
      <c r="BE6" s="98"/>
      <c r="BF6" s="99"/>
      <c r="BG6" s="48"/>
      <c r="BH6" s="48"/>
    </row>
    <row r="7" ht="110.25" customHeight="1">
      <c r="A7" s="21">
        <v>6.0</v>
      </c>
      <c r="B7" s="22">
        <v>2024.0</v>
      </c>
      <c r="C7" s="24" t="s">
        <v>90</v>
      </c>
      <c r="D7" s="80" t="s">
        <v>74</v>
      </c>
      <c r="E7" s="80" t="s">
        <v>75</v>
      </c>
      <c r="F7" s="25" t="s">
        <v>97</v>
      </c>
      <c r="G7" s="24" t="s">
        <v>98</v>
      </c>
      <c r="H7" s="100" t="s">
        <v>98</v>
      </c>
      <c r="I7" s="24" t="s">
        <v>93</v>
      </c>
      <c r="J7" s="24" t="s">
        <v>99</v>
      </c>
      <c r="K7" s="24" t="s">
        <v>100</v>
      </c>
      <c r="L7" s="24">
        <v>7.0</v>
      </c>
      <c r="M7" s="27">
        <v>1000.0</v>
      </c>
      <c r="N7" s="28">
        <v>0.0</v>
      </c>
      <c r="O7" s="82">
        <v>3.5E8</v>
      </c>
      <c r="P7" s="82">
        <v>7.509281E8</v>
      </c>
      <c r="Q7" s="31">
        <f t="shared" si="2"/>
        <v>1100928100</v>
      </c>
      <c r="R7" s="32">
        <v>0.0</v>
      </c>
      <c r="S7" s="32">
        <v>0.0</v>
      </c>
      <c r="T7" s="33">
        <f t="shared" si="3"/>
        <v>1100928100</v>
      </c>
      <c r="U7" s="94" t="s">
        <v>64</v>
      </c>
      <c r="V7" s="94" t="s">
        <v>64</v>
      </c>
      <c r="W7" s="84"/>
      <c r="X7" s="85">
        <v>45679.0</v>
      </c>
      <c r="Y7" s="85">
        <v>45891.0</v>
      </c>
      <c r="Z7" s="49">
        <v>0.0</v>
      </c>
      <c r="AA7" s="38">
        <v>0.0</v>
      </c>
      <c r="AB7" s="85">
        <v>45891.0</v>
      </c>
      <c r="AC7" s="38">
        <f t="shared" si="4"/>
        <v>-396</v>
      </c>
      <c r="AD7" s="27"/>
      <c r="AE7" s="27">
        <v>1000.0</v>
      </c>
      <c r="AF7" s="27"/>
      <c r="AG7" s="27"/>
      <c r="AH7" s="95">
        <f t="shared" ref="AH7:AH66" si="11">AD7+AE7+AF7+AG7</f>
        <v>1000</v>
      </c>
      <c r="AI7" s="87">
        <v>1000.0</v>
      </c>
      <c r="AJ7" s="88">
        <f t="shared" si="8"/>
        <v>0</v>
      </c>
      <c r="AK7" s="28"/>
      <c r="AL7" s="28"/>
      <c r="AM7" s="28"/>
      <c r="AN7" s="28"/>
      <c r="AO7" s="28">
        <v>0.0</v>
      </c>
      <c r="AP7" s="87">
        <v>1000.0</v>
      </c>
      <c r="AQ7" s="28">
        <v>0.0</v>
      </c>
      <c r="AR7" s="29">
        <v>3.5E8</v>
      </c>
      <c r="AS7" s="29">
        <v>3.39490134E8</v>
      </c>
      <c r="AT7" s="90">
        <f t="shared" si="9"/>
        <v>1</v>
      </c>
      <c r="AU7" s="90">
        <f t="shared" si="10"/>
        <v>0.9699718114</v>
      </c>
      <c r="AV7" s="101" t="s">
        <v>101</v>
      </c>
      <c r="AW7" s="91"/>
      <c r="AX7" s="43"/>
      <c r="AY7" s="91"/>
      <c r="AZ7" s="92"/>
      <c r="BA7" s="92"/>
      <c r="BB7" s="92"/>
      <c r="BC7" s="102"/>
      <c r="BD7" s="92"/>
      <c r="BE7" s="98"/>
      <c r="BF7" s="99"/>
      <c r="BG7" s="103"/>
      <c r="BH7" s="48"/>
    </row>
    <row r="8" ht="110.25" customHeight="1">
      <c r="A8" s="21">
        <v>7.0</v>
      </c>
      <c r="B8" s="22">
        <v>2024.0</v>
      </c>
      <c r="C8" s="24" t="s">
        <v>90</v>
      </c>
      <c r="D8" s="80" t="s">
        <v>74</v>
      </c>
      <c r="E8" s="80" t="s">
        <v>75</v>
      </c>
      <c r="F8" s="25" t="s">
        <v>102</v>
      </c>
      <c r="G8" s="24" t="s">
        <v>103</v>
      </c>
      <c r="H8" s="24" t="s">
        <v>103</v>
      </c>
      <c r="I8" s="24" t="s">
        <v>104</v>
      </c>
      <c r="J8" s="24" t="s">
        <v>105</v>
      </c>
      <c r="K8" s="24" t="s">
        <v>106</v>
      </c>
      <c r="L8" s="24">
        <v>6.0</v>
      </c>
      <c r="M8" s="27">
        <v>1000.0</v>
      </c>
      <c r="N8" s="28">
        <v>0.0</v>
      </c>
      <c r="O8" s="82">
        <v>3.5E8</v>
      </c>
      <c r="P8" s="82">
        <v>6.3E8</v>
      </c>
      <c r="Q8" s="31">
        <f t="shared" si="2"/>
        <v>980000000</v>
      </c>
      <c r="R8" s="32">
        <v>0.0</v>
      </c>
      <c r="S8" s="32">
        <v>0.0</v>
      </c>
      <c r="T8" s="33">
        <f t="shared" si="3"/>
        <v>980000000</v>
      </c>
      <c r="U8" s="94" t="s">
        <v>64</v>
      </c>
      <c r="V8" s="94" t="s">
        <v>64</v>
      </c>
      <c r="W8" s="84"/>
      <c r="X8" s="85">
        <v>45726.0</v>
      </c>
      <c r="Y8" s="85">
        <v>45910.0</v>
      </c>
      <c r="Z8" s="49">
        <v>0.0</v>
      </c>
      <c r="AA8" s="38">
        <v>0.0</v>
      </c>
      <c r="AB8" s="85">
        <v>45910.0</v>
      </c>
      <c r="AC8" s="38">
        <f t="shared" si="4"/>
        <v>-377</v>
      </c>
      <c r="AD8" s="27"/>
      <c r="AE8" s="27">
        <v>1000.0</v>
      </c>
      <c r="AF8" s="27"/>
      <c r="AG8" s="27"/>
      <c r="AH8" s="95">
        <f t="shared" si="11"/>
        <v>1000</v>
      </c>
      <c r="AI8" s="87">
        <v>1000.0</v>
      </c>
      <c r="AJ8" s="88">
        <f t="shared" si="8"/>
        <v>0</v>
      </c>
      <c r="AK8" s="28"/>
      <c r="AL8" s="28"/>
      <c r="AM8" s="28"/>
      <c r="AN8" s="28"/>
      <c r="AO8" s="28">
        <v>0.0</v>
      </c>
      <c r="AP8" s="87">
        <v>1000.0</v>
      </c>
      <c r="AQ8" s="28">
        <v>0.0</v>
      </c>
      <c r="AR8" s="29">
        <v>3.5E8</v>
      </c>
      <c r="AS8" s="29">
        <v>3.37963528E8</v>
      </c>
      <c r="AT8" s="90">
        <f t="shared" si="9"/>
        <v>1</v>
      </c>
      <c r="AU8" s="90">
        <f t="shared" si="10"/>
        <v>0.96561008</v>
      </c>
      <c r="AV8" s="101" t="s">
        <v>107</v>
      </c>
      <c r="AW8" s="91"/>
      <c r="AX8" s="43"/>
      <c r="AY8" s="91"/>
      <c r="AZ8" s="92"/>
      <c r="BA8" s="92"/>
      <c r="BB8" s="92"/>
      <c r="BC8" s="46"/>
      <c r="BD8" s="92"/>
      <c r="BE8" s="47"/>
      <c r="BF8" s="99"/>
      <c r="BG8" s="48"/>
      <c r="BH8" s="48"/>
    </row>
    <row r="9" ht="110.25" customHeight="1">
      <c r="A9" s="21">
        <v>8.0</v>
      </c>
      <c r="B9" s="22">
        <v>2025.0</v>
      </c>
      <c r="C9" s="24" t="s">
        <v>90</v>
      </c>
      <c r="D9" s="80" t="s">
        <v>74</v>
      </c>
      <c r="E9" s="80" t="s">
        <v>75</v>
      </c>
      <c r="F9" s="25" t="s">
        <v>108</v>
      </c>
      <c r="G9" s="24" t="s">
        <v>109</v>
      </c>
      <c r="H9" s="24" t="s">
        <v>109</v>
      </c>
      <c r="I9" s="24" t="s">
        <v>104</v>
      </c>
      <c r="J9" s="24" t="s">
        <v>110</v>
      </c>
      <c r="K9" s="24" t="s">
        <v>111</v>
      </c>
      <c r="L9" s="24">
        <v>6.0</v>
      </c>
      <c r="M9" s="104">
        <v>1000.0</v>
      </c>
      <c r="N9" s="28">
        <v>0.0</v>
      </c>
      <c r="O9" s="105">
        <v>3.5E8</v>
      </c>
      <c r="P9" s="82">
        <v>2.7150913016E8</v>
      </c>
      <c r="Q9" s="31">
        <f t="shared" si="2"/>
        <v>621509130.2</v>
      </c>
      <c r="R9" s="32">
        <v>0.0</v>
      </c>
      <c r="S9" s="32">
        <v>0.0</v>
      </c>
      <c r="T9" s="33">
        <f t="shared" si="3"/>
        <v>621509130.2</v>
      </c>
      <c r="U9" s="94" t="s">
        <v>64</v>
      </c>
      <c r="V9" s="94" t="s">
        <v>64</v>
      </c>
      <c r="W9" s="84"/>
      <c r="X9" s="85">
        <v>45699.0</v>
      </c>
      <c r="Y9" s="85">
        <v>45880.0</v>
      </c>
      <c r="Z9" s="49">
        <v>0.0</v>
      </c>
      <c r="AA9" s="38">
        <v>0.0</v>
      </c>
      <c r="AB9" s="85">
        <v>45880.0</v>
      </c>
      <c r="AC9" s="38">
        <f t="shared" si="4"/>
        <v>-407</v>
      </c>
      <c r="AD9" s="27"/>
      <c r="AE9" s="27">
        <v>550.0</v>
      </c>
      <c r="AF9" s="27">
        <v>300.0</v>
      </c>
      <c r="AG9" s="27"/>
      <c r="AH9" s="95">
        <f t="shared" si="11"/>
        <v>850</v>
      </c>
      <c r="AI9" s="27">
        <v>850.0</v>
      </c>
      <c r="AJ9" s="88">
        <f t="shared" si="8"/>
        <v>0</v>
      </c>
      <c r="AK9" s="28"/>
      <c r="AL9" s="28"/>
      <c r="AM9" s="28"/>
      <c r="AN9" s="28"/>
      <c r="AO9" s="28">
        <v>0.0</v>
      </c>
      <c r="AP9" s="87">
        <v>850.0</v>
      </c>
      <c r="AQ9" s="28">
        <v>0.0</v>
      </c>
      <c r="AR9" s="89">
        <v>3.5E8</v>
      </c>
      <c r="AS9" s="29">
        <v>2.74757553E8</v>
      </c>
      <c r="AT9" s="106">
        <f t="shared" si="9"/>
        <v>0.85</v>
      </c>
      <c r="AU9" s="106">
        <f t="shared" si="10"/>
        <v>0.78502158</v>
      </c>
      <c r="AV9" s="107" t="s">
        <v>112</v>
      </c>
      <c r="AW9" s="91"/>
      <c r="AX9" s="43"/>
      <c r="AY9" s="91"/>
      <c r="AZ9" s="92"/>
      <c r="BA9" s="92"/>
      <c r="BB9" s="92"/>
      <c r="BC9" s="108"/>
      <c r="BD9" s="92"/>
      <c r="BE9" s="91"/>
      <c r="BF9" s="93"/>
      <c r="BG9" s="48"/>
      <c r="BH9" s="48"/>
    </row>
    <row r="10" ht="110.25" customHeight="1">
      <c r="A10" s="21">
        <v>9.0</v>
      </c>
      <c r="B10" s="28">
        <v>2024.0</v>
      </c>
      <c r="C10" s="24" t="s">
        <v>90</v>
      </c>
      <c r="D10" s="80" t="s">
        <v>74</v>
      </c>
      <c r="E10" s="80" t="s">
        <v>75</v>
      </c>
      <c r="F10" s="25" t="s">
        <v>113</v>
      </c>
      <c r="G10" s="24" t="s">
        <v>114</v>
      </c>
      <c r="H10" s="24" t="s">
        <v>114</v>
      </c>
      <c r="I10" s="24" t="s">
        <v>104</v>
      </c>
      <c r="J10" s="24" t="s">
        <v>115</v>
      </c>
      <c r="K10" s="24" t="s">
        <v>116</v>
      </c>
      <c r="L10" s="24">
        <v>8.0</v>
      </c>
      <c r="M10" s="27">
        <v>2000.0</v>
      </c>
      <c r="N10" s="28">
        <v>0.0</v>
      </c>
      <c r="O10" s="82">
        <v>7.0E8</v>
      </c>
      <c r="P10" s="82">
        <v>2.7150913016E8</v>
      </c>
      <c r="Q10" s="31">
        <f t="shared" si="2"/>
        <v>971509130.2</v>
      </c>
      <c r="R10" s="32">
        <v>0.0</v>
      </c>
      <c r="S10" s="32">
        <v>0.0</v>
      </c>
      <c r="T10" s="33">
        <f t="shared" si="3"/>
        <v>971509130.2</v>
      </c>
      <c r="U10" s="94" t="s">
        <v>64</v>
      </c>
      <c r="V10" s="94" t="s">
        <v>64</v>
      </c>
      <c r="W10" s="84"/>
      <c r="X10" s="85">
        <v>45686.0</v>
      </c>
      <c r="Y10" s="85">
        <v>45929.0</v>
      </c>
      <c r="Z10" s="49">
        <v>3.0</v>
      </c>
      <c r="AA10" s="38">
        <v>0.0</v>
      </c>
      <c r="AB10" s="85">
        <v>46020.0</v>
      </c>
      <c r="AC10" s="38">
        <f t="shared" si="4"/>
        <v>-267</v>
      </c>
      <c r="AD10" s="27"/>
      <c r="AE10" s="27">
        <v>1200.0</v>
      </c>
      <c r="AF10" s="27">
        <v>640.0</v>
      </c>
      <c r="AG10" s="27"/>
      <c r="AH10" s="95">
        <f t="shared" si="11"/>
        <v>1840</v>
      </c>
      <c r="AI10" s="27">
        <v>1840.0</v>
      </c>
      <c r="AJ10" s="88">
        <f t="shared" si="8"/>
        <v>0</v>
      </c>
      <c r="AK10" s="28"/>
      <c r="AL10" s="28"/>
      <c r="AM10" s="28"/>
      <c r="AN10" s="28"/>
      <c r="AO10" s="28">
        <v>0.0</v>
      </c>
      <c r="AP10" s="87">
        <v>1840.0</v>
      </c>
      <c r="AQ10" s="28">
        <v>0.0</v>
      </c>
      <c r="AR10" s="29">
        <v>7.0E8</v>
      </c>
      <c r="AS10" s="29">
        <v>6.51511146E8</v>
      </c>
      <c r="AT10" s="106">
        <f t="shared" si="9"/>
        <v>0.92</v>
      </c>
      <c r="AU10" s="106">
        <f t="shared" si="10"/>
        <v>0.9307302086</v>
      </c>
      <c r="AV10" s="109" t="s">
        <v>117</v>
      </c>
      <c r="AW10" s="91"/>
      <c r="AX10" s="43"/>
      <c r="AY10" s="91"/>
      <c r="AZ10" s="92"/>
      <c r="BA10" s="92"/>
      <c r="BB10" s="92"/>
      <c r="BC10" s="46"/>
      <c r="BD10" s="92"/>
      <c r="BE10" s="98"/>
      <c r="BF10" s="93"/>
      <c r="BG10" s="48"/>
      <c r="BH10" s="48"/>
    </row>
    <row r="11" ht="110.25" customHeight="1">
      <c r="A11" s="21">
        <v>10.0</v>
      </c>
      <c r="B11" s="22">
        <v>2024.0</v>
      </c>
      <c r="C11" s="24" t="s">
        <v>90</v>
      </c>
      <c r="D11" s="24" t="s">
        <v>118</v>
      </c>
      <c r="E11" s="80" t="s">
        <v>59</v>
      </c>
      <c r="F11" s="25">
        <v>4.600017797E9</v>
      </c>
      <c r="G11" s="24" t="s">
        <v>119</v>
      </c>
      <c r="H11" s="24" t="s">
        <v>119</v>
      </c>
      <c r="I11" s="24" t="s">
        <v>120</v>
      </c>
      <c r="J11" s="24" t="s">
        <v>121</v>
      </c>
      <c r="K11" s="24" t="s">
        <v>122</v>
      </c>
      <c r="L11" s="24">
        <v>8.0</v>
      </c>
      <c r="M11" s="27">
        <v>875.0</v>
      </c>
      <c r="N11" s="28">
        <v>0.0</v>
      </c>
      <c r="O11" s="82">
        <v>2.421407483E9</v>
      </c>
      <c r="P11" s="82">
        <v>5.0E8</v>
      </c>
      <c r="Q11" s="31">
        <f t="shared" si="2"/>
        <v>2921407483</v>
      </c>
      <c r="R11" s="32">
        <v>0.0</v>
      </c>
      <c r="S11" s="32">
        <v>0.0</v>
      </c>
      <c r="T11" s="33">
        <f t="shared" si="3"/>
        <v>2921407483</v>
      </c>
      <c r="U11" s="94" t="s">
        <v>64</v>
      </c>
      <c r="V11" s="94" t="s">
        <v>64</v>
      </c>
      <c r="W11" s="84"/>
      <c r="X11" s="85">
        <v>45653.0</v>
      </c>
      <c r="Y11" s="85">
        <v>45896.0</v>
      </c>
      <c r="Z11" s="37">
        <v>0.0</v>
      </c>
      <c r="AA11" s="38">
        <v>0.0</v>
      </c>
      <c r="AB11" s="85">
        <v>45896.0</v>
      </c>
      <c r="AC11" s="38">
        <f t="shared" si="4"/>
        <v>-391</v>
      </c>
      <c r="AD11" s="27"/>
      <c r="AE11" s="27"/>
      <c r="AF11" s="27"/>
      <c r="AG11" s="27"/>
      <c r="AH11" s="86">
        <f t="shared" si="11"/>
        <v>0</v>
      </c>
      <c r="AI11" s="27">
        <v>875.0</v>
      </c>
      <c r="AJ11" s="28"/>
      <c r="AK11" s="28"/>
      <c r="AL11" s="28"/>
      <c r="AM11" s="28"/>
      <c r="AN11" s="28"/>
      <c r="AO11" s="28">
        <v>0.0</v>
      </c>
      <c r="AP11" s="87">
        <v>875.0</v>
      </c>
      <c r="AQ11" s="28">
        <v>0.0</v>
      </c>
      <c r="AR11" s="29">
        <v>2.421407483E9</v>
      </c>
      <c r="AS11" s="29">
        <v>2.421407483E9</v>
      </c>
      <c r="AT11" s="110">
        <f t="shared" si="9"/>
        <v>1</v>
      </c>
      <c r="AU11" s="110">
        <f t="shared" si="10"/>
        <v>1</v>
      </c>
      <c r="AV11" s="111" t="s">
        <v>123</v>
      </c>
      <c r="AW11" s="91"/>
      <c r="AX11" s="43"/>
      <c r="AY11" s="91"/>
      <c r="AZ11" s="92"/>
      <c r="BA11" s="92"/>
      <c r="BB11" s="92"/>
      <c r="BC11" s="112"/>
      <c r="BD11" s="92"/>
      <c r="BE11" s="92"/>
      <c r="BF11" s="93"/>
      <c r="BG11" s="103"/>
      <c r="BH11" s="48"/>
    </row>
    <row r="12" ht="110.25" customHeight="1">
      <c r="A12" s="50">
        <v>11.0</v>
      </c>
      <c r="B12" s="51">
        <v>2024.0</v>
      </c>
      <c r="C12" s="52" t="s">
        <v>124</v>
      </c>
      <c r="D12" s="52" t="s">
        <v>74</v>
      </c>
      <c r="E12" s="52" t="s">
        <v>75</v>
      </c>
      <c r="F12" s="53" t="s">
        <v>125</v>
      </c>
      <c r="G12" s="52" t="s">
        <v>126</v>
      </c>
      <c r="H12" s="52" t="s">
        <v>126</v>
      </c>
      <c r="I12" s="52" t="s">
        <v>127</v>
      </c>
      <c r="J12" s="52" t="s">
        <v>128</v>
      </c>
      <c r="K12" s="52" t="s">
        <v>80</v>
      </c>
      <c r="L12" s="54">
        <v>6.0</v>
      </c>
      <c r="M12" s="55">
        <v>1000.0</v>
      </c>
      <c r="N12" s="56"/>
      <c r="O12" s="113">
        <v>3.5E8</v>
      </c>
      <c r="P12" s="114">
        <v>3.94188839E8</v>
      </c>
      <c r="Q12" s="59">
        <f t="shared" si="2"/>
        <v>744188839</v>
      </c>
      <c r="R12" s="60">
        <v>0.0</v>
      </c>
      <c r="S12" s="60">
        <v>0.0</v>
      </c>
      <c r="T12" s="61">
        <f t="shared" si="3"/>
        <v>744188839</v>
      </c>
      <c r="U12" s="62" t="s">
        <v>64</v>
      </c>
      <c r="V12" s="62" t="s">
        <v>64</v>
      </c>
      <c r="W12" s="63"/>
      <c r="X12" s="64">
        <v>45691.0</v>
      </c>
      <c r="Y12" s="64">
        <v>45872.0</v>
      </c>
      <c r="Z12" s="65">
        <v>3.0</v>
      </c>
      <c r="AA12" s="66">
        <v>0.0</v>
      </c>
      <c r="AB12" s="64">
        <v>45964.0</v>
      </c>
      <c r="AC12" s="66">
        <f t="shared" si="4"/>
        <v>-323</v>
      </c>
      <c r="AD12" s="51"/>
      <c r="AE12" s="51">
        <v>900.0</v>
      </c>
      <c r="AF12" s="51"/>
      <c r="AG12" s="51"/>
      <c r="AH12" s="69">
        <f t="shared" si="11"/>
        <v>900</v>
      </c>
      <c r="AI12" s="51">
        <v>900.0</v>
      </c>
      <c r="AJ12" s="70">
        <f t="shared" ref="AJ12:AJ49" si="12">AH12-AI12</f>
        <v>0</v>
      </c>
      <c r="AK12" s="56"/>
      <c r="AL12" s="56"/>
      <c r="AM12" s="56"/>
      <c r="AN12" s="56"/>
      <c r="AO12" s="56">
        <v>0.0</v>
      </c>
      <c r="AP12" s="40">
        <v>900.0</v>
      </c>
      <c r="AQ12" s="56">
        <v>0.0</v>
      </c>
      <c r="AR12" s="58">
        <v>3.5E8</v>
      </c>
      <c r="AS12" s="58">
        <v>3.22248627E8</v>
      </c>
      <c r="AT12" s="115">
        <f t="shared" si="9"/>
        <v>0.9</v>
      </c>
      <c r="AU12" s="115">
        <f t="shared" si="10"/>
        <v>0.9207103629</v>
      </c>
      <c r="AV12" s="116" t="s">
        <v>129</v>
      </c>
      <c r="AW12" s="74"/>
      <c r="AX12" s="75"/>
      <c r="AY12" s="74"/>
      <c r="AZ12" s="76"/>
      <c r="BA12" s="76"/>
      <c r="BB12" s="76"/>
      <c r="BC12" s="77"/>
      <c r="BD12" s="76"/>
      <c r="BE12" s="117"/>
      <c r="BF12" s="78"/>
      <c r="BG12" s="118"/>
      <c r="BH12" s="78"/>
    </row>
    <row r="13" ht="110.25" customHeight="1">
      <c r="A13" s="21">
        <v>12.0</v>
      </c>
      <c r="B13" s="28">
        <v>2024.0</v>
      </c>
      <c r="C13" s="24" t="s">
        <v>124</v>
      </c>
      <c r="D13" s="80" t="s">
        <v>74</v>
      </c>
      <c r="E13" s="80" t="s">
        <v>75</v>
      </c>
      <c r="F13" s="25" t="s">
        <v>130</v>
      </c>
      <c r="G13" s="24" t="s">
        <v>131</v>
      </c>
      <c r="H13" s="24" t="s">
        <v>131</v>
      </c>
      <c r="I13" s="24" t="s">
        <v>127</v>
      </c>
      <c r="J13" s="24" t="s">
        <v>132</v>
      </c>
      <c r="K13" s="24" t="s">
        <v>133</v>
      </c>
      <c r="L13" s="24">
        <v>8.0</v>
      </c>
      <c r="M13" s="27">
        <v>1000.0</v>
      </c>
      <c r="N13" s="28">
        <v>0.0</v>
      </c>
      <c r="O13" s="82">
        <v>3.5E8</v>
      </c>
      <c r="P13" s="82">
        <v>3.637905E8</v>
      </c>
      <c r="Q13" s="31">
        <f t="shared" si="2"/>
        <v>713790500</v>
      </c>
      <c r="R13" s="32">
        <v>0.0</v>
      </c>
      <c r="S13" s="32">
        <v>0.0</v>
      </c>
      <c r="T13" s="33">
        <f t="shared" si="3"/>
        <v>713790500</v>
      </c>
      <c r="U13" s="94" t="s">
        <v>64</v>
      </c>
      <c r="V13" s="94" t="s">
        <v>64</v>
      </c>
      <c r="W13" s="84"/>
      <c r="X13" s="85">
        <v>45680.0</v>
      </c>
      <c r="Y13" s="85">
        <v>45923.0</v>
      </c>
      <c r="Z13" s="49">
        <v>3.0</v>
      </c>
      <c r="AA13" s="38">
        <v>0.0</v>
      </c>
      <c r="AB13" s="85">
        <v>45984.0</v>
      </c>
      <c r="AC13" s="38">
        <f t="shared" si="4"/>
        <v>-303</v>
      </c>
      <c r="AD13" s="27"/>
      <c r="AE13" s="27">
        <v>800.0</v>
      </c>
      <c r="AF13" s="27">
        <v>200.0</v>
      </c>
      <c r="AG13" s="27"/>
      <c r="AH13" s="95">
        <f t="shared" si="11"/>
        <v>1000</v>
      </c>
      <c r="AI13" s="87">
        <v>1000.0</v>
      </c>
      <c r="AJ13" s="88">
        <f t="shared" si="12"/>
        <v>0</v>
      </c>
      <c r="AK13" s="28"/>
      <c r="AL13" s="28"/>
      <c r="AM13" s="28"/>
      <c r="AN13" s="28"/>
      <c r="AO13" s="28">
        <v>0.0</v>
      </c>
      <c r="AP13" s="87">
        <v>1000.0</v>
      </c>
      <c r="AQ13" s="28">
        <v>0.0</v>
      </c>
      <c r="AR13" s="29">
        <v>3.5E8</v>
      </c>
      <c r="AS13" s="29">
        <v>3.20144828E8</v>
      </c>
      <c r="AT13" s="90">
        <f t="shared" si="9"/>
        <v>1</v>
      </c>
      <c r="AU13" s="90">
        <f t="shared" si="10"/>
        <v>0.9146995086</v>
      </c>
      <c r="AV13" s="119" t="s">
        <v>134</v>
      </c>
      <c r="AW13" s="91"/>
      <c r="AX13" s="43"/>
      <c r="AY13" s="91"/>
      <c r="AZ13" s="92"/>
      <c r="BA13" s="92"/>
      <c r="BB13" s="92"/>
      <c r="BC13" s="46"/>
      <c r="BD13" s="92"/>
      <c r="BE13" s="91"/>
      <c r="BF13" s="99"/>
      <c r="BG13" s="48"/>
      <c r="BH13" s="48"/>
    </row>
    <row r="14" ht="110.25" customHeight="1">
      <c r="A14" s="21">
        <v>13.0</v>
      </c>
      <c r="B14" s="22">
        <v>2024.0</v>
      </c>
      <c r="C14" s="24" t="s">
        <v>124</v>
      </c>
      <c r="D14" s="80" t="s">
        <v>74</v>
      </c>
      <c r="E14" s="80" t="s">
        <v>75</v>
      </c>
      <c r="F14" s="25" t="s">
        <v>135</v>
      </c>
      <c r="G14" s="24" t="s">
        <v>136</v>
      </c>
      <c r="H14" s="24" t="s">
        <v>136</v>
      </c>
      <c r="I14" s="24" t="s">
        <v>127</v>
      </c>
      <c r="J14" s="24" t="s">
        <v>137</v>
      </c>
      <c r="K14" s="24" t="s">
        <v>138</v>
      </c>
      <c r="L14" s="24">
        <v>5.0</v>
      </c>
      <c r="M14" s="27">
        <v>1000.0</v>
      </c>
      <c r="N14" s="28">
        <v>0.0</v>
      </c>
      <c r="O14" s="82">
        <v>3.47515221E8</v>
      </c>
      <c r="P14" s="82">
        <v>6.13537414E8</v>
      </c>
      <c r="Q14" s="31">
        <f t="shared" si="2"/>
        <v>961052635</v>
      </c>
      <c r="R14" s="32">
        <v>0.0</v>
      </c>
      <c r="S14" s="32">
        <v>0.0</v>
      </c>
      <c r="T14" s="33">
        <f t="shared" si="3"/>
        <v>961052635</v>
      </c>
      <c r="U14" s="94" t="s">
        <v>64</v>
      </c>
      <c r="V14" s="94" t="s">
        <v>64</v>
      </c>
      <c r="W14" s="84"/>
      <c r="X14" s="85">
        <v>45497.0</v>
      </c>
      <c r="Y14" s="85">
        <v>45656.0</v>
      </c>
      <c r="Z14" s="49">
        <v>0.0</v>
      </c>
      <c r="AA14" s="38">
        <v>0.0</v>
      </c>
      <c r="AB14" s="85">
        <v>45656.0</v>
      </c>
      <c r="AC14" s="38">
        <f t="shared" si="4"/>
        <v>-631</v>
      </c>
      <c r="AD14" s="27">
        <v>330.0</v>
      </c>
      <c r="AE14" s="27">
        <v>670.0</v>
      </c>
      <c r="AF14" s="27"/>
      <c r="AG14" s="27"/>
      <c r="AH14" s="95">
        <f t="shared" si="11"/>
        <v>1000</v>
      </c>
      <c r="AI14" s="87">
        <v>1000.0</v>
      </c>
      <c r="AJ14" s="88">
        <f t="shared" si="12"/>
        <v>0</v>
      </c>
      <c r="AK14" s="28"/>
      <c r="AL14" s="28"/>
      <c r="AM14" s="28"/>
      <c r="AN14" s="28"/>
      <c r="AO14" s="28">
        <v>0.0</v>
      </c>
      <c r="AP14" s="87">
        <v>1000.0</v>
      </c>
      <c r="AQ14" s="28">
        <v>0.0</v>
      </c>
      <c r="AR14" s="29">
        <v>3.47515221E8</v>
      </c>
      <c r="AS14" s="29">
        <v>3.47515221E8</v>
      </c>
      <c r="AT14" s="90">
        <f t="shared" si="9"/>
        <v>1</v>
      </c>
      <c r="AU14" s="90">
        <f t="shared" si="10"/>
        <v>1</v>
      </c>
      <c r="AV14" s="24" t="s">
        <v>139</v>
      </c>
      <c r="AW14" s="91"/>
      <c r="AX14" s="43"/>
      <c r="AY14" s="91"/>
      <c r="AZ14" s="92"/>
      <c r="BA14" s="92"/>
      <c r="BB14" s="92"/>
      <c r="BC14" s="46"/>
      <c r="BD14" s="92"/>
      <c r="BE14" s="98"/>
      <c r="BF14" s="99"/>
      <c r="BG14" s="48"/>
      <c r="BH14" s="48"/>
    </row>
    <row r="15" ht="110.25" customHeight="1">
      <c r="A15" s="21">
        <v>14.0</v>
      </c>
      <c r="B15" s="22">
        <v>2024.0</v>
      </c>
      <c r="C15" s="24" t="s">
        <v>124</v>
      </c>
      <c r="D15" s="80" t="s">
        <v>74</v>
      </c>
      <c r="E15" s="80" t="s">
        <v>75</v>
      </c>
      <c r="F15" s="25" t="s">
        <v>140</v>
      </c>
      <c r="G15" s="24" t="s">
        <v>141</v>
      </c>
      <c r="H15" s="24" t="s">
        <v>141</v>
      </c>
      <c r="I15" s="24" t="s">
        <v>127</v>
      </c>
      <c r="J15" s="24" t="s">
        <v>142</v>
      </c>
      <c r="K15" s="24" t="s">
        <v>143</v>
      </c>
      <c r="L15" s="24">
        <v>4.0</v>
      </c>
      <c r="M15" s="27">
        <v>1000.0</v>
      </c>
      <c r="N15" s="28">
        <v>0.0</v>
      </c>
      <c r="O15" s="82">
        <v>3.5E8</v>
      </c>
      <c r="P15" s="82">
        <v>4.80824988E8</v>
      </c>
      <c r="Q15" s="31">
        <f t="shared" si="2"/>
        <v>830824988</v>
      </c>
      <c r="R15" s="32">
        <v>0.0</v>
      </c>
      <c r="S15" s="32">
        <v>0.0</v>
      </c>
      <c r="T15" s="33">
        <f t="shared" si="3"/>
        <v>830824988</v>
      </c>
      <c r="U15" s="94" t="s">
        <v>64</v>
      </c>
      <c r="V15" s="94" t="s">
        <v>64</v>
      </c>
      <c r="W15" s="84"/>
      <c r="X15" s="85">
        <v>45688.0</v>
      </c>
      <c r="Y15" s="85">
        <v>45799.0</v>
      </c>
      <c r="Z15" s="49">
        <v>2.0</v>
      </c>
      <c r="AA15" s="38">
        <v>0.0</v>
      </c>
      <c r="AB15" s="85">
        <v>45860.0</v>
      </c>
      <c r="AC15" s="38">
        <f t="shared" si="4"/>
        <v>-427</v>
      </c>
      <c r="AD15" s="27"/>
      <c r="AE15" s="27">
        <v>1000.0</v>
      </c>
      <c r="AF15" s="27"/>
      <c r="AG15" s="27"/>
      <c r="AH15" s="95">
        <f t="shared" si="11"/>
        <v>1000</v>
      </c>
      <c r="AI15" s="87">
        <v>1000.0</v>
      </c>
      <c r="AJ15" s="88">
        <f t="shared" si="12"/>
        <v>0</v>
      </c>
      <c r="AK15" s="28"/>
      <c r="AL15" s="28"/>
      <c r="AM15" s="28"/>
      <c r="AN15" s="28"/>
      <c r="AO15" s="28">
        <v>0.0</v>
      </c>
      <c r="AP15" s="87">
        <v>1000.0</v>
      </c>
      <c r="AQ15" s="28">
        <v>0.0</v>
      </c>
      <c r="AR15" s="29">
        <v>3.5E8</v>
      </c>
      <c r="AS15" s="29">
        <v>3.24118994E8</v>
      </c>
      <c r="AT15" s="90">
        <f t="shared" si="9"/>
        <v>1</v>
      </c>
      <c r="AU15" s="90">
        <f t="shared" si="10"/>
        <v>0.9260542686</v>
      </c>
      <c r="AV15" s="119" t="s">
        <v>144</v>
      </c>
      <c r="AW15" s="91"/>
      <c r="AX15" s="43"/>
      <c r="AY15" s="91"/>
      <c r="AZ15" s="92"/>
      <c r="BA15" s="92"/>
      <c r="BB15" s="92"/>
      <c r="BC15" s="102"/>
      <c r="BD15" s="92"/>
      <c r="BE15" s="98"/>
      <c r="BF15" s="99"/>
      <c r="BG15" s="48"/>
      <c r="BH15" s="48"/>
    </row>
    <row r="16" ht="110.25" customHeight="1">
      <c r="A16" s="21">
        <v>15.0</v>
      </c>
      <c r="B16" s="22">
        <v>2024.0</v>
      </c>
      <c r="C16" s="24" t="s">
        <v>124</v>
      </c>
      <c r="D16" s="80" t="s">
        <v>74</v>
      </c>
      <c r="E16" s="80" t="s">
        <v>75</v>
      </c>
      <c r="F16" s="25" t="s">
        <v>145</v>
      </c>
      <c r="G16" s="24" t="s">
        <v>146</v>
      </c>
      <c r="H16" s="24" t="s">
        <v>146</v>
      </c>
      <c r="I16" s="24" t="s">
        <v>127</v>
      </c>
      <c r="J16" s="24" t="s">
        <v>147</v>
      </c>
      <c r="K16" s="24" t="s">
        <v>148</v>
      </c>
      <c r="L16" s="24">
        <v>6.0</v>
      </c>
      <c r="M16" s="27">
        <v>1000.0</v>
      </c>
      <c r="N16" s="28">
        <v>0.0</v>
      </c>
      <c r="O16" s="82">
        <v>3.5E8</v>
      </c>
      <c r="P16" s="82">
        <v>6.5E8</v>
      </c>
      <c r="Q16" s="31">
        <f t="shared" si="2"/>
        <v>1000000000</v>
      </c>
      <c r="R16" s="32">
        <v>0.0</v>
      </c>
      <c r="S16" s="32">
        <v>0.0</v>
      </c>
      <c r="T16" s="33">
        <f t="shared" si="3"/>
        <v>1000000000</v>
      </c>
      <c r="U16" s="94" t="s">
        <v>64</v>
      </c>
      <c r="V16" s="94" t="s">
        <v>64</v>
      </c>
      <c r="W16" s="84"/>
      <c r="X16" s="85">
        <v>45679.0</v>
      </c>
      <c r="Y16" s="85">
        <v>45860.0</v>
      </c>
      <c r="Z16" s="49">
        <v>0.0</v>
      </c>
      <c r="AA16" s="38">
        <v>0.0</v>
      </c>
      <c r="AB16" s="85">
        <v>45860.0</v>
      </c>
      <c r="AC16" s="38">
        <f t="shared" si="4"/>
        <v>-427</v>
      </c>
      <c r="AD16" s="27"/>
      <c r="AE16" s="27">
        <v>1000.0</v>
      </c>
      <c r="AF16" s="27"/>
      <c r="AG16" s="27"/>
      <c r="AH16" s="95">
        <f t="shared" si="11"/>
        <v>1000</v>
      </c>
      <c r="AI16" s="87">
        <v>1000.0</v>
      </c>
      <c r="AJ16" s="88">
        <f t="shared" si="12"/>
        <v>0</v>
      </c>
      <c r="AK16" s="28"/>
      <c r="AL16" s="28"/>
      <c r="AM16" s="28"/>
      <c r="AN16" s="28"/>
      <c r="AO16" s="28">
        <v>0.0</v>
      </c>
      <c r="AP16" s="87">
        <v>1000.0</v>
      </c>
      <c r="AQ16" s="28">
        <v>0.0</v>
      </c>
      <c r="AR16" s="29">
        <v>3.5E8</v>
      </c>
      <c r="AS16" s="29">
        <v>3.21544067E8</v>
      </c>
      <c r="AT16" s="90">
        <f t="shared" si="9"/>
        <v>1</v>
      </c>
      <c r="AU16" s="90">
        <f t="shared" si="10"/>
        <v>0.9186973343</v>
      </c>
      <c r="AV16" s="119" t="s">
        <v>149</v>
      </c>
      <c r="AW16" s="91"/>
      <c r="AX16" s="43"/>
      <c r="AY16" s="91"/>
      <c r="AZ16" s="92"/>
      <c r="BA16" s="92"/>
      <c r="BB16" s="92"/>
      <c r="BC16" s="46"/>
      <c r="BD16" s="92"/>
      <c r="BE16" s="47"/>
      <c r="BF16" s="99"/>
      <c r="BG16" s="48"/>
      <c r="BH16" s="48"/>
    </row>
    <row r="17" ht="110.25" customHeight="1">
      <c r="A17" s="103">
        <v>16.0</v>
      </c>
      <c r="B17" s="80">
        <v>2024.0</v>
      </c>
      <c r="C17" s="120" t="s">
        <v>150</v>
      </c>
      <c r="D17" s="80" t="s">
        <v>74</v>
      </c>
      <c r="E17" s="80" t="s">
        <v>75</v>
      </c>
      <c r="F17" s="121" t="s">
        <v>151</v>
      </c>
      <c r="G17" s="80" t="s">
        <v>152</v>
      </c>
      <c r="H17" s="80" t="s">
        <v>152</v>
      </c>
      <c r="I17" s="80" t="s">
        <v>78</v>
      </c>
      <c r="J17" s="80" t="s">
        <v>153</v>
      </c>
      <c r="K17" s="80" t="s">
        <v>154</v>
      </c>
      <c r="L17" s="80">
        <v>7.0</v>
      </c>
      <c r="M17" s="122">
        <v>700.0</v>
      </c>
      <c r="N17" s="80">
        <v>0.0</v>
      </c>
      <c r="O17" s="105">
        <v>2.45E8</v>
      </c>
      <c r="P17" s="105">
        <v>7.7162499E8</v>
      </c>
      <c r="Q17" s="31">
        <f t="shared" si="2"/>
        <v>1016624990</v>
      </c>
      <c r="R17" s="32">
        <v>0.0</v>
      </c>
      <c r="S17" s="32">
        <v>0.0</v>
      </c>
      <c r="T17" s="31">
        <f t="shared" si="3"/>
        <v>1016624990</v>
      </c>
      <c r="U17" s="94" t="s">
        <v>64</v>
      </c>
      <c r="V17" s="94" t="s">
        <v>64</v>
      </c>
      <c r="W17" s="123"/>
      <c r="X17" s="124">
        <v>45679.0</v>
      </c>
      <c r="Y17" s="124">
        <v>45891.0</v>
      </c>
      <c r="Z17" s="49">
        <v>0.0</v>
      </c>
      <c r="AA17" s="38">
        <v>0.0</v>
      </c>
      <c r="AB17" s="124">
        <v>45952.0</v>
      </c>
      <c r="AC17" s="38">
        <f t="shared" si="4"/>
        <v>-335</v>
      </c>
      <c r="AD17" s="122"/>
      <c r="AE17" s="125">
        <v>595.0</v>
      </c>
      <c r="AF17" s="125">
        <v>105.0</v>
      </c>
      <c r="AG17" s="122"/>
      <c r="AH17" s="95">
        <f t="shared" si="11"/>
        <v>700</v>
      </c>
      <c r="AI17" s="126">
        <v>700.0</v>
      </c>
      <c r="AJ17" s="88">
        <f t="shared" si="12"/>
        <v>0</v>
      </c>
      <c r="AK17" s="80"/>
      <c r="AL17" s="80"/>
      <c r="AM17" s="80"/>
      <c r="AN17" s="80"/>
      <c r="AO17" s="80">
        <v>0.0</v>
      </c>
      <c r="AP17" s="87">
        <v>700.0</v>
      </c>
      <c r="AQ17" s="80">
        <v>0.0</v>
      </c>
      <c r="AR17" s="89">
        <v>2.45E8</v>
      </c>
      <c r="AS17" s="89">
        <v>2.21907017E8</v>
      </c>
      <c r="AT17" s="127">
        <f t="shared" si="9"/>
        <v>1</v>
      </c>
      <c r="AU17" s="127">
        <f t="shared" si="10"/>
        <v>0.9057429265</v>
      </c>
      <c r="AV17" s="101" t="s">
        <v>155</v>
      </c>
      <c r="AW17" s="128"/>
      <c r="AX17" s="129"/>
      <c r="AY17" s="128"/>
      <c r="AZ17" s="130"/>
      <c r="BA17" s="130"/>
      <c r="BB17" s="130"/>
      <c r="BC17" s="32"/>
      <c r="BD17" s="130"/>
      <c r="BE17" s="128"/>
      <c r="BF17" s="131"/>
      <c r="BG17" s="48"/>
      <c r="BH17" s="48"/>
    </row>
    <row r="18" ht="110.25" customHeight="1">
      <c r="A18" s="21">
        <v>17.0</v>
      </c>
      <c r="B18" s="28">
        <v>2024.0</v>
      </c>
      <c r="C18" s="120" t="s">
        <v>150</v>
      </c>
      <c r="D18" s="80" t="s">
        <v>74</v>
      </c>
      <c r="E18" s="80" t="s">
        <v>75</v>
      </c>
      <c r="F18" s="121" t="s">
        <v>156</v>
      </c>
      <c r="G18" s="80" t="s">
        <v>157</v>
      </c>
      <c r="H18" s="80" t="s">
        <v>157</v>
      </c>
      <c r="I18" s="80" t="s">
        <v>78</v>
      </c>
      <c r="J18" s="80" t="s">
        <v>158</v>
      </c>
      <c r="K18" s="80" t="s">
        <v>159</v>
      </c>
      <c r="L18" s="80">
        <v>7.0</v>
      </c>
      <c r="M18" s="104">
        <v>1000.0</v>
      </c>
      <c r="N18" s="28">
        <v>0.0</v>
      </c>
      <c r="O18" s="105">
        <v>3.5E8</v>
      </c>
      <c r="P18" s="105">
        <f>30000000+376004445+43563114</f>
        <v>449567559</v>
      </c>
      <c r="Q18" s="31">
        <f t="shared" si="2"/>
        <v>799567559</v>
      </c>
      <c r="R18" s="32">
        <v>0.0</v>
      </c>
      <c r="S18" s="32">
        <v>0.0</v>
      </c>
      <c r="T18" s="33">
        <f t="shared" si="3"/>
        <v>799567559</v>
      </c>
      <c r="U18" s="94" t="s">
        <v>64</v>
      </c>
      <c r="V18" s="132" t="s">
        <v>64</v>
      </c>
      <c r="W18" s="84"/>
      <c r="X18" s="133">
        <v>45672.0</v>
      </c>
      <c r="Y18" s="133">
        <v>45915.0</v>
      </c>
      <c r="Z18" s="37">
        <v>2.0</v>
      </c>
      <c r="AA18" s="38">
        <v>0.0</v>
      </c>
      <c r="AB18" s="133">
        <v>45976.0</v>
      </c>
      <c r="AC18" s="38">
        <f t="shared" si="4"/>
        <v>-311</v>
      </c>
      <c r="AD18" s="27"/>
      <c r="AE18" s="27">
        <v>810.0</v>
      </c>
      <c r="AF18" s="27">
        <v>190.0</v>
      </c>
      <c r="AG18" s="27"/>
      <c r="AH18" s="95">
        <f t="shared" si="11"/>
        <v>1000</v>
      </c>
      <c r="AI18" s="87">
        <v>1000.0</v>
      </c>
      <c r="AJ18" s="88">
        <f t="shared" si="12"/>
        <v>0</v>
      </c>
      <c r="AK18" s="28"/>
      <c r="AL18" s="28"/>
      <c r="AM18" s="28"/>
      <c r="AN18" s="28"/>
      <c r="AO18" s="28">
        <v>0.0</v>
      </c>
      <c r="AP18" s="87">
        <v>1000.0</v>
      </c>
      <c r="AQ18" s="28">
        <v>0.0</v>
      </c>
      <c r="AR18" s="89">
        <v>3.5E8</v>
      </c>
      <c r="AS18" s="29">
        <v>3.23699646E8</v>
      </c>
      <c r="AT18" s="90">
        <f t="shared" si="9"/>
        <v>1</v>
      </c>
      <c r="AU18" s="90">
        <f t="shared" si="10"/>
        <v>0.9248561314</v>
      </c>
      <c r="AV18" s="119" t="s">
        <v>160</v>
      </c>
      <c r="AW18" s="91"/>
      <c r="AX18" s="43"/>
      <c r="AY18" s="91"/>
      <c r="AZ18" s="92"/>
      <c r="BA18" s="92"/>
      <c r="BB18" s="92"/>
      <c r="BC18" s="108"/>
      <c r="BD18" s="92"/>
      <c r="BE18" s="92"/>
      <c r="BF18" s="99"/>
      <c r="BG18" s="48"/>
      <c r="BH18" s="48"/>
    </row>
    <row r="19" ht="110.25" customHeight="1">
      <c r="A19" s="21">
        <v>18.0</v>
      </c>
      <c r="B19" s="28">
        <v>2024.0</v>
      </c>
      <c r="C19" s="120" t="s">
        <v>150</v>
      </c>
      <c r="D19" s="80" t="s">
        <v>74</v>
      </c>
      <c r="E19" s="80" t="s">
        <v>75</v>
      </c>
      <c r="F19" s="121" t="s">
        <v>161</v>
      </c>
      <c r="G19" s="80" t="s">
        <v>162</v>
      </c>
      <c r="H19" s="80" t="s">
        <v>162</v>
      </c>
      <c r="I19" s="80" t="s">
        <v>78</v>
      </c>
      <c r="J19" s="80" t="s">
        <v>163</v>
      </c>
      <c r="K19" s="80" t="s">
        <v>164</v>
      </c>
      <c r="L19" s="80">
        <v>7.0</v>
      </c>
      <c r="M19" s="104">
        <v>1000.0</v>
      </c>
      <c r="N19" s="28">
        <v>0.0</v>
      </c>
      <c r="O19" s="105">
        <v>3.5E8</v>
      </c>
      <c r="P19" s="105">
        <f>384587791+107807386</f>
        <v>492395177</v>
      </c>
      <c r="Q19" s="31">
        <f t="shared" si="2"/>
        <v>842395177</v>
      </c>
      <c r="R19" s="32">
        <v>0.0</v>
      </c>
      <c r="S19" s="32">
        <v>0.0</v>
      </c>
      <c r="T19" s="33">
        <f t="shared" si="3"/>
        <v>842395177</v>
      </c>
      <c r="U19" s="94" t="s">
        <v>64</v>
      </c>
      <c r="V19" s="94" t="s">
        <v>64</v>
      </c>
      <c r="W19" s="84"/>
      <c r="X19" s="133">
        <v>45674.0</v>
      </c>
      <c r="Y19" s="133">
        <v>45855.0</v>
      </c>
      <c r="Z19" s="37">
        <v>3.0</v>
      </c>
      <c r="AA19" s="38">
        <v>0.0</v>
      </c>
      <c r="AB19" s="133">
        <v>45947.0</v>
      </c>
      <c r="AC19" s="38">
        <f t="shared" si="4"/>
        <v>-340</v>
      </c>
      <c r="AD19" s="104"/>
      <c r="AE19" s="27">
        <v>1000.0</v>
      </c>
      <c r="AF19" s="104"/>
      <c r="AG19" s="104"/>
      <c r="AH19" s="95">
        <f t="shared" si="11"/>
        <v>1000</v>
      </c>
      <c r="AI19" s="27">
        <v>1000.0</v>
      </c>
      <c r="AJ19" s="88">
        <f t="shared" si="12"/>
        <v>0</v>
      </c>
      <c r="AK19" s="28"/>
      <c r="AL19" s="28"/>
      <c r="AM19" s="28"/>
      <c r="AN19" s="28"/>
      <c r="AO19" s="28">
        <v>0.0</v>
      </c>
      <c r="AP19" s="87">
        <v>1000.0</v>
      </c>
      <c r="AQ19" s="28">
        <v>0.0</v>
      </c>
      <c r="AR19" s="89">
        <v>3.5E8</v>
      </c>
      <c r="AS19" s="29">
        <v>2.86544246E8</v>
      </c>
      <c r="AT19" s="90">
        <f t="shared" si="9"/>
        <v>1</v>
      </c>
      <c r="AU19" s="90">
        <f t="shared" si="10"/>
        <v>0.8186978457</v>
      </c>
      <c r="AV19" s="119" t="s">
        <v>165</v>
      </c>
      <c r="AW19" s="91"/>
      <c r="AX19" s="43"/>
      <c r="AY19" s="91"/>
      <c r="AZ19" s="92"/>
      <c r="BA19" s="92"/>
      <c r="BB19" s="92"/>
      <c r="BC19" s="112"/>
      <c r="BD19" s="92"/>
      <c r="BE19" s="92"/>
      <c r="BF19" s="93"/>
      <c r="BG19" s="48"/>
      <c r="BH19" s="48"/>
    </row>
    <row r="20" ht="110.25" customHeight="1">
      <c r="A20" s="21">
        <v>19.0</v>
      </c>
      <c r="B20" s="28">
        <v>2024.0</v>
      </c>
      <c r="C20" s="120" t="s">
        <v>150</v>
      </c>
      <c r="D20" s="80" t="s">
        <v>74</v>
      </c>
      <c r="E20" s="80" t="s">
        <v>75</v>
      </c>
      <c r="F20" s="121" t="s">
        <v>166</v>
      </c>
      <c r="G20" s="80" t="s">
        <v>167</v>
      </c>
      <c r="H20" s="80" t="s">
        <v>167</v>
      </c>
      <c r="I20" s="80" t="s">
        <v>78</v>
      </c>
      <c r="J20" s="80" t="s">
        <v>168</v>
      </c>
      <c r="K20" s="80" t="s">
        <v>169</v>
      </c>
      <c r="L20" s="80">
        <v>5.0</v>
      </c>
      <c r="M20" s="104">
        <v>600.0</v>
      </c>
      <c r="N20" s="28">
        <v>0.0</v>
      </c>
      <c r="O20" s="105">
        <v>2.1E8</v>
      </c>
      <c r="P20" s="105">
        <v>5.10513945E8</v>
      </c>
      <c r="Q20" s="31">
        <f t="shared" si="2"/>
        <v>720513945</v>
      </c>
      <c r="R20" s="32">
        <v>0.0</v>
      </c>
      <c r="S20" s="32">
        <v>0.0</v>
      </c>
      <c r="T20" s="33">
        <f t="shared" si="3"/>
        <v>720513945</v>
      </c>
      <c r="U20" s="94" t="s">
        <v>64</v>
      </c>
      <c r="V20" s="94" t="s">
        <v>64</v>
      </c>
      <c r="W20" s="84"/>
      <c r="X20" s="133">
        <v>45672.0</v>
      </c>
      <c r="Y20" s="133">
        <v>45823.0</v>
      </c>
      <c r="Z20" s="37">
        <v>3.0</v>
      </c>
      <c r="AA20" s="38">
        <v>0.0</v>
      </c>
      <c r="AB20" s="133">
        <v>46006.0</v>
      </c>
      <c r="AC20" s="38">
        <f t="shared" si="4"/>
        <v>-281</v>
      </c>
      <c r="AD20" s="104"/>
      <c r="AE20" s="27">
        <v>600.0</v>
      </c>
      <c r="AF20" s="104"/>
      <c r="AG20" s="104"/>
      <c r="AH20" s="95">
        <f t="shared" si="11"/>
        <v>600</v>
      </c>
      <c r="AI20" s="134">
        <v>600.0</v>
      </c>
      <c r="AJ20" s="88">
        <f t="shared" si="12"/>
        <v>0</v>
      </c>
      <c r="AK20" s="28"/>
      <c r="AL20" s="28"/>
      <c r="AM20" s="28"/>
      <c r="AN20" s="28"/>
      <c r="AO20" s="28">
        <v>0.0</v>
      </c>
      <c r="AP20" s="134">
        <v>600.0</v>
      </c>
      <c r="AQ20" s="28">
        <v>0.0</v>
      </c>
      <c r="AR20" s="89">
        <v>2.1E8</v>
      </c>
      <c r="AS20" s="89">
        <v>1.51700843E8</v>
      </c>
      <c r="AT20" s="90">
        <f t="shared" si="9"/>
        <v>1</v>
      </c>
      <c r="AU20" s="90">
        <f t="shared" si="10"/>
        <v>0.7223849667</v>
      </c>
      <c r="AV20" s="119" t="s">
        <v>170</v>
      </c>
      <c r="AW20" s="91"/>
      <c r="AX20" s="43"/>
      <c r="AY20" s="91"/>
      <c r="AZ20" s="92"/>
      <c r="BA20" s="92"/>
      <c r="BB20" s="92"/>
      <c r="BC20" s="46"/>
      <c r="BD20" s="92"/>
      <c r="BE20" s="47"/>
      <c r="BF20" s="93"/>
      <c r="BG20" s="48"/>
      <c r="BH20" s="48"/>
    </row>
    <row r="21" ht="110.25" customHeight="1">
      <c r="A21" s="21">
        <v>20.0</v>
      </c>
      <c r="B21" s="22">
        <v>2024.0</v>
      </c>
      <c r="C21" s="24" t="s">
        <v>171</v>
      </c>
      <c r="D21" s="24" t="s">
        <v>74</v>
      </c>
      <c r="E21" s="24" t="s">
        <v>75</v>
      </c>
      <c r="F21" s="25" t="s">
        <v>172</v>
      </c>
      <c r="G21" s="24" t="s">
        <v>173</v>
      </c>
      <c r="H21" s="24" t="s">
        <v>173</v>
      </c>
      <c r="I21" s="24" t="s">
        <v>174</v>
      </c>
      <c r="J21" s="24" t="s">
        <v>175</v>
      </c>
      <c r="K21" s="24" t="s">
        <v>176</v>
      </c>
      <c r="L21" s="26">
        <v>6.0</v>
      </c>
      <c r="M21" s="27">
        <v>1000.0</v>
      </c>
      <c r="N21" s="28"/>
      <c r="O21" s="82">
        <v>3.5E8</v>
      </c>
      <c r="P21" s="135">
        <f>259768800+99900000</f>
        <v>359668800</v>
      </c>
      <c r="Q21" s="31">
        <f t="shared" si="2"/>
        <v>709668800</v>
      </c>
      <c r="R21" s="32">
        <v>0.0</v>
      </c>
      <c r="S21" s="32">
        <v>0.0</v>
      </c>
      <c r="T21" s="33">
        <f t="shared" si="3"/>
        <v>709668800</v>
      </c>
      <c r="U21" s="34" t="s">
        <v>64</v>
      </c>
      <c r="V21" s="34" t="s">
        <v>64</v>
      </c>
      <c r="W21" s="35"/>
      <c r="X21" s="36">
        <v>45679.0</v>
      </c>
      <c r="Y21" s="36">
        <v>45860.0</v>
      </c>
      <c r="Z21" s="49">
        <v>5.0</v>
      </c>
      <c r="AA21" s="38">
        <v>0.0</v>
      </c>
      <c r="AB21" s="36">
        <v>46013.0</v>
      </c>
      <c r="AC21" s="38">
        <f t="shared" si="4"/>
        <v>-274</v>
      </c>
      <c r="AD21" s="136"/>
      <c r="AE21" s="136">
        <v>680.0</v>
      </c>
      <c r="AF21" s="136">
        <v>320.0</v>
      </c>
      <c r="AG21" s="136"/>
      <c r="AH21" s="137">
        <f t="shared" si="11"/>
        <v>1000</v>
      </c>
      <c r="AI21" s="87">
        <v>1000.0</v>
      </c>
      <c r="AJ21" s="88">
        <f t="shared" si="12"/>
        <v>0</v>
      </c>
      <c r="AK21" s="138"/>
      <c r="AL21" s="138"/>
      <c r="AM21" s="138"/>
      <c r="AN21" s="138"/>
      <c r="AO21" s="138">
        <v>0.0</v>
      </c>
      <c r="AP21" s="87">
        <v>1000.0</v>
      </c>
      <c r="AQ21" s="28">
        <v>0.0</v>
      </c>
      <c r="AR21" s="82">
        <v>3.5E8</v>
      </c>
      <c r="AS21" s="135">
        <v>3.08392335E8</v>
      </c>
      <c r="AT21" s="139">
        <v>1.0</v>
      </c>
      <c r="AU21" s="96">
        <f t="shared" si="10"/>
        <v>0.8811209571</v>
      </c>
      <c r="AV21" s="140" t="s">
        <v>177</v>
      </c>
      <c r="AW21" s="91"/>
      <c r="AX21" s="43"/>
      <c r="AY21" s="91"/>
      <c r="AZ21" s="92"/>
      <c r="BA21" s="92"/>
      <c r="BB21" s="92"/>
      <c r="BC21" s="46"/>
      <c r="BD21" s="92"/>
      <c r="BE21" s="47"/>
      <c r="BF21" s="48"/>
      <c r="BG21" s="48"/>
      <c r="BH21" s="48"/>
    </row>
    <row r="22" ht="110.25" customHeight="1">
      <c r="A22" s="21">
        <v>21.0</v>
      </c>
      <c r="B22" s="22">
        <v>2024.0</v>
      </c>
      <c r="C22" s="24" t="s">
        <v>171</v>
      </c>
      <c r="D22" s="24" t="s">
        <v>74</v>
      </c>
      <c r="E22" s="24" t="s">
        <v>75</v>
      </c>
      <c r="F22" s="25" t="s">
        <v>178</v>
      </c>
      <c r="G22" s="24" t="s">
        <v>179</v>
      </c>
      <c r="H22" s="24" t="s">
        <v>179</v>
      </c>
      <c r="I22" s="24" t="s">
        <v>78</v>
      </c>
      <c r="J22" s="24" t="s">
        <v>180</v>
      </c>
      <c r="K22" s="24" t="s">
        <v>181</v>
      </c>
      <c r="L22" s="26">
        <v>5.0</v>
      </c>
      <c r="M22" s="27">
        <v>1548.0</v>
      </c>
      <c r="N22" s="28"/>
      <c r="O22" s="82">
        <v>3.49615135E8</v>
      </c>
      <c r="P22" s="135">
        <v>1.62602956E8</v>
      </c>
      <c r="Q22" s="31">
        <f t="shared" si="2"/>
        <v>512218091</v>
      </c>
      <c r="R22" s="32">
        <v>0.0</v>
      </c>
      <c r="S22" s="32">
        <v>0.0</v>
      </c>
      <c r="T22" s="33">
        <f t="shared" si="3"/>
        <v>512218091</v>
      </c>
      <c r="U22" s="34" t="s">
        <v>64</v>
      </c>
      <c r="V22" s="34" t="s">
        <v>64</v>
      </c>
      <c r="W22" s="35"/>
      <c r="X22" s="36">
        <v>45497.0</v>
      </c>
      <c r="Y22" s="36">
        <v>45656.0</v>
      </c>
      <c r="Z22" s="49">
        <v>0.0</v>
      </c>
      <c r="AA22" s="38">
        <v>0.0</v>
      </c>
      <c r="AB22" s="36">
        <v>45656.0</v>
      </c>
      <c r="AC22" s="38">
        <f t="shared" si="4"/>
        <v>-631</v>
      </c>
      <c r="AD22" s="136">
        <v>610.0</v>
      </c>
      <c r="AE22" s="136">
        <v>938.0</v>
      </c>
      <c r="AF22" s="136"/>
      <c r="AG22" s="136"/>
      <c r="AH22" s="137">
        <f t="shared" si="11"/>
        <v>1548</v>
      </c>
      <c r="AI22" s="87">
        <v>1548.0</v>
      </c>
      <c r="AJ22" s="88">
        <f t="shared" si="12"/>
        <v>0</v>
      </c>
      <c r="AK22" s="138"/>
      <c r="AL22" s="138"/>
      <c r="AM22" s="138"/>
      <c r="AN22" s="138"/>
      <c r="AO22" s="138">
        <v>0.0</v>
      </c>
      <c r="AP22" s="87">
        <v>1548.0</v>
      </c>
      <c r="AQ22" s="28">
        <v>0.0</v>
      </c>
      <c r="AR22" s="135">
        <v>3.49615135E8</v>
      </c>
      <c r="AS22" s="135">
        <v>3.32764657E8</v>
      </c>
      <c r="AT22" s="90">
        <f t="shared" ref="AT22:AT49" si="13">AP22/M22</f>
        <v>1</v>
      </c>
      <c r="AU22" s="90">
        <f t="shared" si="10"/>
        <v>0.9518027788</v>
      </c>
      <c r="AV22" s="97" t="s">
        <v>182</v>
      </c>
      <c r="AW22" s="91"/>
      <c r="AX22" s="43"/>
      <c r="AY22" s="91"/>
      <c r="AZ22" s="92"/>
      <c r="BA22" s="92"/>
      <c r="BB22" s="92"/>
      <c r="BC22" s="46"/>
      <c r="BD22" s="92"/>
      <c r="BE22" s="98"/>
      <c r="BF22" s="48"/>
      <c r="BG22" s="103"/>
      <c r="BH22" s="48"/>
    </row>
    <row r="23" ht="110.25" customHeight="1">
      <c r="A23" s="21">
        <v>22.0</v>
      </c>
      <c r="B23" s="22">
        <v>2024.0</v>
      </c>
      <c r="C23" s="24" t="s">
        <v>171</v>
      </c>
      <c r="D23" s="24" t="s">
        <v>74</v>
      </c>
      <c r="E23" s="24" t="s">
        <v>75</v>
      </c>
      <c r="F23" s="25" t="s">
        <v>183</v>
      </c>
      <c r="G23" s="24" t="s">
        <v>184</v>
      </c>
      <c r="H23" s="24" t="s">
        <v>184</v>
      </c>
      <c r="I23" s="24" t="s">
        <v>185</v>
      </c>
      <c r="J23" s="24" t="s">
        <v>186</v>
      </c>
      <c r="K23" s="24" t="s">
        <v>187</v>
      </c>
      <c r="L23" s="26">
        <v>7.0</v>
      </c>
      <c r="M23" s="27">
        <v>1084.0</v>
      </c>
      <c r="N23" s="28"/>
      <c r="O23" s="82">
        <v>5.985E8</v>
      </c>
      <c r="P23" s="135">
        <f>898744272.59+244817558.23</f>
        <v>1143561831</v>
      </c>
      <c r="Q23" s="31">
        <f t="shared" si="2"/>
        <v>1742061831</v>
      </c>
      <c r="R23" s="30">
        <v>0.0</v>
      </c>
      <c r="S23" s="32">
        <v>0.0</v>
      </c>
      <c r="T23" s="33">
        <f t="shared" si="3"/>
        <v>1742061831</v>
      </c>
      <c r="U23" s="34" t="s">
        <v>64</v>
      </c>
      <c r="V23" s="34" t="s">
        <v>64</v>
      </c>
      <c r="W23" s="35"/>
      <c r="X23" s="36">
        <v>45681.0</v>
      </c>
      <c r="Y23" s="36">
        <v>45893.0</v>
      </c>
      <c r="Z23" s="49">
        <v>3.0</v>
      </c>
      <c r="AA23" s="38">
        <v>0.0</v>
      </c>
      <c r="AB23" s="36">
        <v>45991.0</v>
      </c>
      <c r="AC23" s="38">
        <f t="shared" si="4"/>
        <v>-296</v>
      </c>
      <c r="AD23" s="22"/>
      <c r="AE23" s="22">
        <v>665.0</v>
      </c>
      <c r="AF23" s="22"/>
      <c r="AG23" s="22"/>
      <c r="AH23" s="69">
        <f t="shared" si="11"/>
        <v>665</v>
      </c>
      <c r="AI23" s="22">
        <v>665.0</v>
      </c>
      <c r="AJ23" s="70">
        <f t="shared" si="12"/>
        <v>0</v>
      </c>
      <c r="AK23" s="28"/>
      <c r="AL23" s="28"/>
      <c r="AM23" s="28"/>
      <c r="AN23" s="28"/>
      <c r="AO23" s="28">
        <v>0.0</v>
      </c>
      <c r="AP23" s="40">
        <v>665.0</v>
      </c>
      <c r="AQ23" s="28">
        <v>0.0</v>
      </c>
      <c r="AR23" s="82">
        <v>3.50598661E8</v>
      </c>
      <c r="AS23" s="135">
        <v>2.14890787E8</v>
      </c>
      <c r="AT23" s="106">
        <f t="shared" si="13"/>
        <v>0.6134686347</v>
      </c>
      <c r="AU23" s="106">
        <f t="shared" si="10"/>
        <v>0.6129252929</v>
      </c>
      <c r="AV23" s="101" t="s">
        <v>188</v>
      </c>
      <c r="AW23" s="91"/>
      <c r="AX23" s="43"/>
      <c r="AY23" s="91"/>
      <c r="AZ23" s="92"/>
      <c r="BA23" s="92"/>
      <c r="BB23" s="92"/>
      <c r="BC23" s="102"/>
      <c r="BD23" s="92"/>
      <c r="BE23" s="98"/>
      <c r="BF23" s="48"/>
      <c r="BG23" s="48"/>
      <c r="BH23" s="48"/>
    </row>
    <row r="24" ht="110.25" customHeight="1">
      <c r="A24" s="141">
        <v>23.0</v>
      </c>
      <c r="B24" s="138">
        <v>2024.0</v>
      </c>
      <c r="C24" s="111" t="s">
        <v>171</v>
      </c>
      <c r="D24" s="142" t="s">
        <v>74</v>
      </c>
      <c r="E24" s="142" t="s">
        <v>75</v>
      </c>
      <c r="F24" s="143" t="s">
        <v>189</v>
      </c>
      <c r="G24" s="111" t="s">
        <v>190</v>
      </c>
      <c r="H24" s="111" t="s">
        <v>190</v>
      </c>
      <c r="I24" s="111" t="s">
        <v>174</v>
      </c>
      <c r="J24" s="111" t="s">
        <v>191</v>
      </c>
      <c r="K24" s="111" t="s">
        <v>192</v>
      </c>
      <c r="L24" s="111">
        <v>6.0</v>
      </c>
      <c r="M24" s="81">
        <v>1000.0</v>
      </c>
      <c r="N24" s="138">
        <v>0.0</v>
      </c>
      <c r="O24" s="144">
        <v>3.5E8</v>
      </c>
      <c r="P24" s="144">
        <v>3.90331791E8</v>
      </c>
      <c r="Q24" s="145">
        <f t="shared" si="2"/>
        <v>740331791</v>
      </c>
      <c r="R24" s="146">
        <v>0.0</v>
      </c>
      <c r="S24" s="146">
        <v>0.0</v>
      </c>
      <c r="T24" s="147">
        <f t="shared" si="3"/>
        <v>740331791</v>
      </c>
      <c r="U24" s="148" t="s">
        <v>64</v>
      </c>
      <c r="V24" s="148" t="s">
        <v>64</v>
      </c>
      <c r="W24" s="149"/>
      <c r="X24" s="150">
        <v>45672.0</v>
      </c>
      <c r="Y24" s="150">
        <v>45853.0</v>
      </c>
      <c r="Z24" s="151">
        <v>3.0</v>
      </c>
      <c r="AA24" s="152">
        <v>0.0</v>
      </c>
      <c r="AB24" s="150">
        <v>45990.0</v>
      </c>
      <c r="AC24" s="152">
        <f t="shared" si="4"/>
        <v>-297</v>
      </c>
      <c r="AD24" s="81"/>
      <c r="AE24" s="81">
        <v>1000.0</v>
      </c>
      <c r="AF24" s="81"/>
      <c r="AG24" s="81"/>
      <c r="AH24" s="95">
        <f t="shared" si="11"/>
        <v>1000</v>
      </c>
      <c r="AI24" s="87">
        <v>1000.0</v>
      </c>
      <c r="AJ24" s="88">
        <f t="shared" si="12"/>
        <v>0</v>
      </c>
      <c r="AK24" s="138"/>
      <c r="AL24" s="138"/>
      <c r="AM24" s="138"/>
      <c r="AN24" s="138"/>
      <c r="AO24" s="138">
        <v>0.0</v>
      </c>
      <c r="AP24" s="153">
        <v>1000.0</v>
      </c>
      <c r="AQ24" s="138">
        <v>0.0</v>
      </c>
      <c r="AR24" s="144">
        <v>3.5E8</v>
      </c>
      <c r="AS24" s="144">
        <v>3.23362016E8</v>
      </c>
      <c r="AT24" s="106">
        <f t="shared" si="13"/>
        <v>1</v>
      </c>
      <c r="AU24" s="106">
        <f t="shared" si="10"/>
        <v>0.9238914743</v>
      </c>
      <c r="AV24" s="107" t="s">
        <v>193</v>
      </c>
      <c r="AW24" s="154"/>
      <c r="AX24" s="155"/>
      <c r="AY24" s="154"/>
      <c r="AZ24" s="156"/>
      <c r="BA24" s="156"/>
      <c r="BB24" s="156"/>
      <c r="BC24" s="157"/>
      <c r="BD24" s="156"/>
      <c r="BE24" s="154"/>
      <c r="BF24" s="158"/>
      <c r="BG24" s="159"/>
      <c r="BH24" s="159"/>
    </row>
    <row r="25" ht="110.25" customHeight="1">
      <c r="A25" s="21">
        <v>24.0</v>
      </c>
      <c r="B25" s="22">
        <v>2024.0</v>
      </c>
      <c r="C25" s="24" t="s">
        <v>194</v>
      </c>
      <c r="D25" s="80" t="s">
        <v>74</v>
      </c>
      <c r="E25" s="24" t="s">
        <v>75</v>
      </c>
      <c r="F25" s="25" t="s">
        <v>195</v>
      </c>
      <c r="G25" s="24" t="s">
        <v>196</v>
      </c>
      <c r="H25" s="24" t="s">
        <v>196</v>
      </c>
      <c r="I25" s="24" t="s">
        <v>120</v>
      </c>
      <c r="J25" s="24" t="s">
        <v>197</v>
      </c>
      <c r="K25" s="22" t="s">
        <v>198</v>
      </c>
      <c r="L25" s="26">
        <v>3.0</v>
      </c>
      <c r="M25" s="27">
        <v>100.0</v>
      </c>
      <c r="N25" s="28">
        <v>0.0</v>
      </c>
      <c r="O25" s="82">
        <v>3.4994438E7</v>
      </c>
      <c r="P25" s="135">
        <v>8.065162E7</v>
      </c>
      <c r="Q25" s="31">
        <f t="shared" si="2"/>
        <v>115646058</v>
      </c>
      <c r="R25" s="32">
        <v>0.0</v>
      </c>
      <c r="S25" s="32">
        <v>0.0</v>
      </c>
      <c r="T25" s="33">
        <f t="shared" si="3"/>
        <v>115646058</v>
      </c>
      <c r="U25" s="34" t="s">
        <v>64</v>
      </c>
      <c r="V25" s="34" t="s">
        <v>64</v>
      </c>
      <c r="W25" s="35"/>
      <c r="X25" s="36">
        <v>45502.0</v>
      </c>
      <c r="Y25" s="36">
        <v>45656.0</v>
      </c>
      <c r="Z25" s="37">
        <v>0.0</v>
      </c>
      <c r="AA25" s="38">
        <v>0.0</v>
      </c>
      <c r="AB25" s="36">
        <v>45656.0</v>
      </c>
      <c r="AC25" s="38">
        <f t="shared" si="4"/>
        <v>-631</v>
      </c>
      <c r="AD25" s="22">
        <v>100.0</v>
      </c>
      <c r="AE25" s="22"/>
      <c r="AF25" s="22"/>
      <c r="AG25" s="22"/>
      <c r="AH25" s="69">
        <f t="shared" si="11"/>
        <v>100</v>
      </c>
      <c r="AI25" s="40">
        <v>100.0</v>
      </c>
      <c r="AJ25" s="70">
        <f t="shared" si="12"/>
        <v>0</v>
      </c>
      <c r="AK25" s="28"/>
      <c r="AL25" s="28"/>
      <c r="AM25" s="28"/>
      <c r="AN25" s="28"/>
      <c r="AO25" s="28">
        <v>0.0</v>
      </c>
      <c r="AP25" s="87">
        <v>100.0</v>
      </c>
      <c r="AQ25" s="28">
        <v>0.0</v>
      </c>
      <c r="AR25" s="135">
        <v>3.4994438E7</v>
      </c>
      <c r="AS25" s="135">
        <v>3.4994438E7</v>
      </c>
      <c r="AT25" s="90">
        <f t="shared" si="13"/>
        <v>1</v>
      </c>
      <c r="AU25" s="90">
        <f t="shared" si="10"/>
        <v>1</v>
      </c>
      <c r="AV25" s="120" t="s">
        <v>199</v>
      </c>
      <c r="AW25" s="42" t="s">
        <v>66</v>
      </c>
      <c r="AX25" s="43"/>
      <c r="AY25" s="42" t="s">
        <v>67</v>
      </c>
      <c r="AZ25" s="44" t="s">
        <v>68</v>
      </c>
      <c r="BA25" s="44" t="s">
        <v>68</v>
      </c>
      <c r="BB25" s="45"/>
      <c r="BC25" s="46"/>
      <c r="BD25" s="44" t="s">
        <v>67</v>
      </c>
      <c r="BE25" s="47"/>
      <c r="BF25" s="48"/>
      <c r="BG25" s="48"/>
      <c r="BH25" s="48"/>
    </row>
    <row r="26" ht="44.25" customHeight="1">
      <c r="A26" s="21">
        <v>25.0</v>
      </c>
      <c r="B26" s="22">
        <v>2024.0</v>
      </c>
      <c r="C26" s="23" t="s">
        <v>194</v>
      </c>
      <c r="D26" s="80" t="s">
        <v>74</v>
      </c>
      <c r="E26" s="23" t="s">
        <v>75</v>
      </c>
      <c r="F26" s="25" t="s">
        <v>200</v>
      </c>
      <c r="G26" s="23" t="s">
        <v>201</v>
      </c>
      <c r="H26" s="23" t="s">
        <v>201</v>
      </c>
      <c r="I26" s="23" t="s">
        <v>120</v>
      </c>
      <c r="J26" s="23" t="s">
        <v>202</v>
      </c>
      <c r="K26" s="23" t="s">
        <v>203</v>
      </c>
      <c r="L26" s="160">
        <v>4.0</v>
      </c>
      <c r="M26" s="161">
        <v>1000.0</v>
      </c>
      <c r="N26" s="162">
        <v>0.0</v>
      </c>
      <c r="O26" s="82">
        <v>3.49992727E8</v>
      </c>
      <c r="P26" s="135">
        <v>6.0361569E8</v>
      </c>
      <c r="Q26" s="163">
        <f t="shared" si="2"/>
        <v>953608417</v>
      </c>
      <c r="R26" s="164">
        <v>0.0</v>
      </c>
      <c r="S26" s="164">
        <v>0.0</v>
      </c>
      <c r="T26" s="165">
        <f t="shared" si="3"/>
        <v>953608417</v>
      </c>
      <c r="U26" s="166" t="s">
        <v>64</v>
      </c>
      <c r="V26" s="166" t="s">
        <v>64</v>
      </c>
      <c r="W26" s="167"/>
      <c r="X26" s="168">
        <v>45517.0</v>
      </c>
      <c r="Y26" s="168">
        <v>45656.0</v>
      </c>
      <c r="Z26" s="169">
        <v>0.0</v>
      </c>
      <c r="AA26" s="170">
        <v>0.0</v>
      </c>
      <c r="AB26" s="168">
        <v>45656.0</v>
      </c>
      <c r="AC26" s="38">
        <f t="shared" si="4"/>
        <v>-631</v>
      </c>
      <c r="AD26" s="22">
        <v>500.0</v>
      </c>
      <c r="AE26" s="22">
        <v>500.0</v>
      </c>
      <c r="AF26" s="22"/>
      <c r="AG26" s="22"/>
      <c r="AH26" s="137">
        <f t="shared" si="11"/>
        <v>1000</v>
      </c>
      <c r="AI26" s="87">
        <v>1000.0</v>
      </c>
      <c r="AJ26" s="88">
        <f t="shared" si="12"/>
        <v>0</v>
      </c>
      <c r="AK26" s="162"/>
      <c r="AL26" s="162"/>
      <c r="AM26" s="162"/>
      <c r="AN26" s="162"/>
      <c r="AO26" s="162">
        <v>0.0</v>
      </c>
      <c r="AP26" s="87">
        <v>1000.0</v>
      </c>
      <c r="AQ26" s="162">
        <v>0.0</v>
      </c>
      <c r="AR26" s="135">
        <v>3.49992727E8</v>
      </c>
      <c r="AS26" s="135">
        <v>3.49992727E8</v>
      </c>
      <c r="AT26" s="171">
        <f t="shared" si="13"/>
        <v>1</v>
      </c>
      <c r="AU26" s="171">
        <f t="shared" si="10"/>
        <v>1</v>
      </c>
      <c r="AV26" s="23" t="s">
        <v>204</v>
      </c>
      <c r="AW26" s="91"/>
      <c r="AX26" s="43"/>
      <c r="AY26" s="91"/>
      <c r="AZ26" s="92"/>
      <c r="BA26" s="92"/>
      <c r="BB26" s="92"/>
      <c r="BC26" s="46"/>
      <c r="BD26" s="92"/>
      <c r="BE26" s="98"/>
      <c r="BF26" s="48"/>
      <c r="BG26" s="99"/>
      <c r="BH26" s="99"/>
    </row>
    <row r="27" ht="102.0" customHeight="1">
      <c r="A27" s="21">
        <v>26.0</v>
      </c>
      <c r="B27" s="28">
        <v>2024.0</v>
      </c>
      <c r="C27" s="23" t="s">
        <v>205</v>
      </c>
      <c r="D27" s="80" t="s">
        <v>74</v>
      </c>
      <c r="E27" s="172" t="s">
        <v>75</v>
      </c>
      <c r="F27" s="25" t="s">
        <v>206</v>
      </c>
      <c r="G27" s="23" t="s">
        <v>207</v>
      </c>
      <c r="H27" s="23" t="s">
        <v>207</v>
      </c>
      <c r="I27" s="23" t="s">
        <v>120</v>
      </c>
      <c r="J27" s="23" t="s">
        <v>208</v>
      </c>
      <c r="K27" s="23" t="s">
        <v>209</v>
      </c>
      <c r="L27" s="23">
        <v>10.0</v>
      </c>
      <c r="M27" s="173">
        <v>500.0</v>
      </c>
      <c r="N27" s="162">
        <v>0.0</v>
      </c>
      <c r="O27" s="82">
        <v>1.75E8</v>
      </c>
      <c r="P27" s="82">
        <f>275586929+135959500</f>
        <v>411546429</v>
      </c>
      <c r="Q27" s="163">
        <f t="shared" si="2"/>
        <v>586546429</v>
      </c>
      <c r="R27" s="164">
        <v>0.0</v>
      </c>
      <c r="S27" s="164">
        <v>0.0</v>
      </c>
      <c r="T27" s="165">
        <f t="shared" si="3"/>
        <v>586546429</v>
      </c>
      <c r="U27" s="174" t="s">
        <v>64</v>
      </c>
      <c r="V27" s="174" t="s">
        <v>64</v>
      </c>
      <c r="W27" s="175"/>
      <c r="X27" s="176">
        <v>45671.0</v>
      </c>
      <c r="Y27" s="176">
        <v>45975.0</v>
      </c>
      <c r="Z27" s="177">
        <v>0.0</v>
      </c>
      <c r="AA27" s="170">
        <v>0.0</v>
      </c>
      <c r="AB27" s="176">
        <v>45975.0</v>
      </c>
      <c r="AC27" s="38">
        <f t="shared" si="4"/>
        <v>-312</v>
      </c>
      <c r="AD27" s="27"/>
      <c r="AE27" s="27">
        <v>200.0</v>
      </c>
      <c r="AF27" s="27">
        <v>300.0</v>
      </c>
      <c r="AG27" s="27"/>
      <c r="AH27" s="95">
        <f t="shared" si="11"/>
        <v>500</v>
      </c>
      <c r="AI27" s="178">
        <v>500.0</v>
      </c>
      <c r="AJ27" s="88">
        <f t="shared" si="12"/>
        <v>0</v>
      </c>
      <c r="AK27" s="162"/>
      <c r="AL27" s="162"/>
      <c r="AM27" s="162"/>
      <c r="AN27" s="162"/>
      <c r="AO27" s="162">
        <v>0.0</v>
      </c>
      <c r="AP27" s="87">
        <v>500.0</v>
      </c>
      <c r="AQ27" s="162">
        <v>0.0</v>
      </c>
      <c r="AR27" s="82">
        <v>1.75E8</v>
      </c>
      <c r="AS27" s="82">
        <v>1.56241835E8</v>
      </c>
      <c r="AT27" s="171">
        <f t="shared" si="13"/>
        <v>1</v>
      </c>
      <c r="AU27" s="171">
        <f t="shared" si="10"/>
        <v>0.8928104857</v>
      </c>
      <c r="AV27" s="179" t="s">
        <v>210</v>
      </c>
      <c r="AW27" s="91"/>
      <c r="AX27" s="43"/>
      <c r="AY27" s="91"/>
      <c r="AZ27" s="92"/>
      <c r="BA27" s="92"/>
      <c r="BB27" s="92"/>
      <c r="BC27" s="102"/>
      <c r="BD27" s="92"/>
      <c r="BE27" s="98"/>
      <c r="BF27" s="99"/>
      <c r="BG27" s="99"/>
      <c r="BH27" s="99"/>
    </row>
    <row r="28" ht="102.0" customHeight="1">
      <c r="A28" s="21">
        <v>27.0</v>
      </c>
      <c r="B28" s="28">
        <v>2024.0</v>
      </c>
      <c r="C28" s="23" t="s">
        <v>205</v>
      </c>
      <c r="D28" s="80" t="s">
        <v>74</v>
      </c>
      <c r="E28" s="172" t="s">
        <v>75</v>
      </c>
      <c r="F28" s="25" t="s">
        <v>211</v>
      </c>
      <c r="G28" s="23" t="s">
        <v>212</v>
      </c>
      <c r="H28" s="23" t="s">
        <v>212</v>
      </c>
      <c r="I28" s="23" t="s">
        <v>120</v>
      </c>
      <c r="J28" s="23" t="s">
        <v>213</v>
      </c>
      <c r="K28" s="23" t="s">
        <v>214</v>
      </c>
      <c r="L28" s="23">
        <v>5.0</v>
      </c>
      <c r="M28" s="173">
        <v>1000.0</v>
      </c>
      <c r="N28" s="162">
        <v>0.0</v>
      </c>
      <c r="O28" s="82">
        <v>3.49975959E8</v>
      </c>
      <c r="P28" s="82">
        <v>1.408091719E9</v>
      </c>
      <c r="Q28" s="163">
        <f t="shared" si="2"/>
        <v>1758067678</v>
      </c>
      <c r="R28" s="164">
        <v>0.0</v>
      </c>
      <c r="S28" s="164">
        <v>0.0</v>
      </c>
      <c r="T28" s="165">
        <f t="shared" si="3"/>
        <v>1758067678</v>
      </c>
      <c r="U28" s="174" t="s">
        <v>64</v>
      </c>
      <c r="V28" s="174" t="s">
        <v>64</v>
      </c>
      <c r="W28" s="175"/>
      <c r="X28" s="176">
        <v>45502.0</v>
      </c>
      <c r="Y28" s="176">
        <v>45656.0</v>
      </c>
      <c r="Z28" s="177">
        <v>0.0</v>
      </c>
      <c r="AA28" s="170">
        <v>0.0</v>
      </c>
      <c r="AB28" s="176">
        <v>45656.0</v>
      </c>
      <c r="AC28" s="38">
        <f t="shared" si="4"/>
        <v>-631</v>
      </c>
      <c r="AD28" s="27">
        <v>600.0</v>
      </c>
      <c r="AE28" s="27">
        <v>400.0</v>
      </c>
      <c r="AF28" s="27"/>
      <c r="AG28" s="27"/>
      <c r="AH28" s="95">
        <f t="shared" si="11"/>
        <v>1000</v>
      </c>
      <c r="AI28" s="87">
        <v>1000.0</v>
      </c>
      <c r="AJ28" s="88">
        <f t="shared" si="12"/>
        <v>0</v>
      </c>
      <c r="AK28" s="162"/>
      <c r="AL28" s="162"/>
      <c r="AM28" s="162"/>
      <c r="AN28" s="162"/>
      <c r="AO28" s="162">
        <v>0.0</v>
      </c>
      <c r="AP28" s="87">
        <v>1000.0</v>
      </c>
      <c r="AQ28" s="162">
        <v>0.0</v>
      </c>
      <c r="AR28" s="82">
        <v>3.49975959E8</v>
      </c>
      <c r="AS28" s="82">
        <v>3.49975959E8</v>
      </c>
      <c r="AT28" s="171">
        <f t="shared" si="13"/>
        <v>1</v>
      </c>
      <c r="AU28" s="171">
        <f t="shared" si="10"/>
        <v>1</v>
      </c>
      <c r="AV28" s="180" t="s">
        <v>215</v>
      </c>
      <c r="AW28" s="91"/>
      <c r="AX28" s="43"/>
      <c r="AY28" s="91"/>
      <c r="AZ28" s="92"/>
      <c r="BA28" s="92"/>
      <c r="BB28" s="92"/>
      <c r="BC28" s="46"/>
      <c r="BD28" s="92"/>
      <c r="BE28" s="47"/>
      <c r="BF28" s="99"/>
      <c r="BG28" s="99"/>
      <c r="BH28" s="99"/>
    </row>
    <row r="29" ht="102.0" customHeight="1">
      <c r="A29" s="21">
        <v>28.0</v>
      </c>
      <c r="B29" s="22">
        <v>2024.0</v>
      </c>
      <c r="C29" s="23" t="s">
        <v>205</v>
      </c>
      <c r="D29" s="80" t="s">
        <v>74</v>
      </c>
      <c r="E29" s="172" t="s">
        <v>75</v>
      </c>
      <c r="F29" s="25" t="s">
        <v>216</v>
      </c>
      <c r="G29" s="23" t="s">
        <v>217</v>
      </c>
      <c r="H29" s="23" t="s">
        <v>217</v>
      </c>
      <c r="I29" s="23" t="s">
        <v>120</v>
      </c>
      <c r="J29" s="23" t="s">
        <v>218</v>
      </c>
      <c r="K29" s="23" t="s">
        <v>219</v>
      </c>
      <c r="L29" s="23">
        <v>4.0</v>
      </c>
      <c r="M29" s="173">
        <v>1000.0</v>
      </c>
      <c r="N29" s="162">
        <v>0.0</v>
      </c>
      <c r="O29" s="82">
        <v>3.49992105E8</v>
      </c>
      <c r="P29" s="82">
        <v>5.95429488E8</v>
      </c>
      <c r="Q29" s="163">
        <f t="shared" si="2"/>
        <v>945421593</v>
      </c>
      <c r="R29" s="164">
        <v>0.0</v>
      </c>
      <c r="S29" s="164">
        <v>0.0</v>
      </c>
      <c r="T29" s="165">
        <f t="shared" si="3"/>
        <v>945421593</v>
      </c>
      <c r="U29" s="83" t="s">
        <v>220</v>
      </c>
      <c r="V29" s="83" t="s">
        <v>220</v>
      </c>
      <c r="W29" s="175"/>
      <c r="X29" s="176">
        <v>45516.0</v>
      </c>
      <c r="Y29" s="176">
        <v>45656.0</v>
      </c>
      <c r="Z29" s="177">
        <v>0.0</v>
      </c>
      <c r="AA29" s="170">
        <v>0.0</v>
      </c>
      <c r="AB29" s="176">
        <v>45656.0</v>
      </c>
      <c r="AC29" s="38">
        <f t="shared" si="4"/>
        <v>-631</v>
      </c>
      <c r="AD29" s="27">
        <v>500.0</v>
      </c>
      <c r="AE29" s="27">
        <v>500.0</v>
      </c>
      <c r="AF29" s="27"/>
      <c r="AG29" s="27"/>
      <c r="AH29" s="95">
        <f t="shared" si="11"/>
        <v>1000</v>
      </c>
      <c r="AI29" s="87">
        <v>1000.0</v>
      </c>
      <c r="AJ29" s="88">
        <f t="shared" si="12"/>
        <v>0</v>
      </c>
      <c r="AK29" s="162"/>
      <c r="AL29" s="162"/>
      <c r="AM29" s="162"/>
      <c r="AN29" s="162"/>
      <c r="AO29" s="162">
        <v>0.0</v>
      </c>
      <c r="AP29" s="87">
        <v>1000.0</v>
      </c>
      <c r="AQ29" s="162">
        <v>0.0</v>
      </c>
      <c r="AR29" s="82">
        <v>3.49992105E8</v>
      </c>
      <c r="AS29" s="82">
        <v>3.49992105E8</v>
      </c>
      <c r="AT29" s="171">
        <f t="shared" si="13"/>
        <v>1</v>
      </c>
      <c r="AU29" s="171">
        <f t="shared" si="10"/>
        <v>1</v>
      </c>
      <c r="AV29" s="181" t="s">
        <v>221</v>
      </c>
      <c r="AW29" s="91"/>
      <c r="AX29" s="182">
        <v>46199.0</v>
      </c>
      <c r="AY29" s="91"/>
      <c r="AZ29" s="92"/>
      <c r="BA29" s="92"/>
      <c r="BB29" s="92"/>
      <c r="BC29" s="46"/>
      <c r="BD29" s="92"/>
      <c r="BE29" s="47"/>
      <c r="BF29" s="99"/>
      <c r="BG29" s="99"/>
      <c r="BH29" s="99"/>
    </row>
    <row r="30" ht="102.0" customHeight="1">
      <c r="A30" s="21">
        <v>29.0</v>
      </c>
      <c r="B30" s="22">
        <v>2024.0</v>
      </c>
      <c r="C30" s="23" t="s">
        <v>205</v>
      </c>
      <c r="D30" s="80" t="s">
        <v>74</v>
      </c>
      <c r="E30" s="172" t="s">
        <v>75</v>
      </c>
      <c r="F30" s="25" t="s">
        <v>222</v>
      </c>
      <c r="G30" s="23" t="s">
        <v>217</v>
      </c>
      <c r="H30" s="23" t="s">
        <v>217</v>
      </c>
      <c r="I30" s="23" t="s">
        <v>120</v>
      </c>
      <c r="J30" s="23" t="s">
        <v>218</v>
      </c>
      <c r="K30" s="23" t="s">
        <v>223</v>
      </c>
      <c r="L30" s="23">
        <v>7.0</v>
      </c>
      <c r="M30" s="173">
        <v>1000.0</v>
      </c>
      <c r="N30" s="162">
        <v>0.0</v>
      </c>
      <c r="O30" s="82">
        <v>3.5E8</v>
      </c>
      <c r="P30" s="82">
        <v>8.47342338E8</v>
      </c>
      <c r="Q30" s="163">
        <f t="shared" si="2"/>
        <v>1197342338</v>
      </c>
      <c r="R30" s="164">
        <v>0.0</v>
      </c>
      <c r="S30" s="164">
        <v>0.0</v>
      </c>
      <c r="T30" s="165">
        <f t="shared" si="3"/>
        <v>1197342338</v>
      </c>
      <c r="U30" s="174" t="s">
        <v>64</v>
      </c>
      <c r="V30" s="174" t="s">
        <v>64</v>
      </c>
      <c r="W30" s="175"/>
      <c r="X30" s="176">
        <v>45685.0</v>
      </c>
      <c r="Y30" s="176">
        <v>45866.0</v>
      </c>
      <c r="Z30" s="177">
        <v>0.0</v>
      </c>
      <c r="AA30" s="170">
        <v>0.0</v>
      </c>
      <c r="AB30" s="176">
        <v>45866.0</v>
      </c>
      <c r="AC30" s="38">
        <f t="shared" si="4"/>
        <v>-421</v>
      </c>
      <c r="AD30" s="27"/>
      <c r="AE30" s="27">
        <v>1000.0</v>
      </c>
      <c r="AF30" s="27"/>
      <c r="AG30" s="27"/>
      <c r="AH30" s="95">
        <f t="shared" si="11"/>
        <v>1000</v>
      </c>
      <c r="AI30" s="87">
        <v>1000.0</v>
      </c>
      <c r="AJ30" s="88">
        <f t="shared" si="12"/>
        <v>0</v>
      </c>
      <c r="AK30" s="162"/>
      <c r="AL30" s="162"/>
      <c r="AM30" s="162"/>
      <c r="AN30" s="162"/>
      <c r="AO30" s="162">
        <v>0.0</v>
      </c>
      <c r="AP30" s="178">
        <v>1000.0</v>
      </c>
      <c r="AQ30" s="162">
        <v>0.0</v>
      </c>
      <c r="AR30" s="82">
        <v>3.49998338E8</v>
      </c>
      <c r="AS30" s="82">
        <v>3.21353862E8</v>
      </c>
      <c r="AT30" s="171">
        <f t="shared" si="13"/>
        <v>1</v>
      </c>
      <c r="AU30" s="171">
        <f t="shared" si="10"/>
        <v>0.9181582514</v>
      </c>
      <c r="AV30" s="140" t="s">
        <v>224</v>
      </c>
      <c r="AW30" s="91"/>
      <c r="AX30" s="43"/>
      <c r="AY30" s="91"/>
      <c r="AZ30" s="92"/>
      <c r="BA30" s="92"/>
      <c r="BB30" s="92"/>
      <c r="BC30" s="46"/>
      <c r="BD30" s="92"/>
      <c r="BE30" s="92"/>
      <c r="BF30" s="99"/>
      <c r="BG30" s="99"/>
      <c r="BH30" s="99"/>
    </row>
    <row r="31" ht="102.0" customHeight="1">
      <c r="A31" s="21">
        <v>30.0</v>
      </c>
      <c r="B31" s="22">
        <v>2024.0</v>
      </c>
      <c r="C31" s="23" t="s">
        <v>205</v>
      </c>
      <c r="D31" s="80" t="s">
        <v>74</v>
      </c>
      <c r="E31" s="172" t="s">
        <v>75</v>
      </c>
      <c r="F31" s="25" t="s">
        <v>225</v>
      </c>
      <c r="G31" s="23" t="s">
        <v>226</v>
      </c>
      <c r="H31" s="23" t="s">
        <v>226</v>
      </c>
      <c r="I31" s="23" t="s">
        <v>120</v>
      </c>
      <c r="J31" s="23" t="s">
        <v>227</v>
      </c>
      <c r="K31" s="23" t="s">
        <v>219</v>
      </c>
      <c r="L31" s="23">
        <v>7.0</v>
      </c>
      <c r="M31" s="183">
        <v>1681.0</v>
      </c>
      <c r="N31" s="162">
        <v>0.0</v>
      </c>
      <c r="O31" s="82">
        <v>0.0</v>
      </c>
      <c r="P31" s="82">
        <v>0.0</v>
      </c>
      <c r="Q31" s="163">
        <f t="shared" si="2"/>
        <v>0</v>
      </c>
      <c r="R31" s="164">
        <v>0.0</v>
      </c>
      <c r="S31" s="164">
        <v>0.0</v>
      </c>
      <c r="T31" s="165">
        <f t="shared" si="3"/>
        <v>0</v>
      </c>
      <c r="U31" s="62" t="s">
        <v>64</v>
      </c>
      <c r="V31" s="83" t="s">
        <v>88</v>
      </c>
      <c r="W31" s="175"/>
      <c r="X31" s="176">
        <v>45694.0</v>
      </c>
      <c r="Y31" s="176">
        <v>45906.0</v>
      </c>
      <c r="Z31" s="177">
        <v>0.0</v>
      </c>
      <c r="AA31" s="170">
        <v>0.0</v>
      </c>
      <c r="AB31" s="176">
        <v>45906.0</v>
      </c>
      <c r="AC31" s="38">
        <f t="shared" si="4"/>
        <v>-381</v>
      </c>
      <c r="AD31" s="27"/>
      <c r="AE31" s="27"/>
      <c r="AF31" s="27"/>
      <c r="AG31" s="27"/>
      <c r="AH31" s="86">
        <f t="shared" si="11"/>
        <v>0</v>
      </c>
      <c r="AI31" s="178">
        <v>0.0</v>
      </c>
      <c r="AJ31" s="88">
        <f t="shared" si="12"/>
        <v>0</v>
      </c>
      <c r="AK31" s="162"/>
      <c r="AL31" s="162"/>
      <c r="AM31" s="162"/>
      <c r="AN31" s="162"/>
      <c r="AO31" s="162">
        <v>0.0</v>
      </c>
      <c r="AP31" s="178">
        <v>0.0</v>
      </c>
      <c r="AQ31" s="162">
        <v>0.0</v>
      </c>
      <c r="AR31" s="82">
        <v>0.0</v>
      </c>
      <c r="AS31" s="82">
        <v>0.0</v>
      </c>
      <c r="AT31" s="171">
        <f t="shared" si="13"/>
        <v>0</v>
      </c>
      <c r="AU31" s="171" t="str">
        <f t="shared" si="10"/>
        <v>#DIV/0!</v>
      </c>
      <c r="AV31" s="23" t="s">
        <v>228</v>
      </c>
      <c r="AW31" s="91"/>
      <c r="AX31" s="43"/>
      <c r="AY31" s="91"/>
      <c r="AZ31" s="92"/>
      <c r="BA31" s="92"/>
      <c r="BB31" s="92"/>
      <c r="BC31" s="102"/>
      <c r="BD31" s="92"/>
      <c r="BE31" s="92"/>
      <c r="BF31" s="99"/>
      <c r="BG31" s="99"/>
      <c r="BH31" s="99"/>
    </row>
    <row r="32" ht="102.0" customHeight="1">
      <c r="A32" s="50">
        <v>31.0</v>
      </c>
      <c r="B32" s="51">
        <v>2024.0</v>
      </c>
      <c r="C32" s="184" t="s">
        <v>205</v>
      </c>
      <c r="D32" s="185" t="s">
        <v>74</v>
      </c>
      <c r="E32" s="186" t="s">
        <v>75</v>
      </c>
      <c r="F32" s="53" t="s">
        <v>229</v>
      </c>
      <c r="G32" s="184" t="s">
        <v>230</v>
      </c>
      <c r="H32" s="184" t="s">
        <v>230</v>
      </c>
      <c r="I32" s="184" t="s">
        <v>120</v>
      </c>
      <c r="J32" s="184" t="s">
        <v>231</v>
      </c>
      <c r="K32" s="184" t="s">
        <v>232</v>
      </c>
      <c r="L32" s="184">
        <v>8.0</v>
      </c>
      <c r="M32" s="100">
        <v>700.0</v>
      </c>
      <c r="N32" s="187">
        <v>0.0</v>
      </c>
      <c r="O32" s="113">
        <v>2.45E8</v>
      </c>
      <c r="P32" s="113">
        <v>2.51728088E8</v>
      </c>
      <c r="Q32" s="188">
        <f t="shared" si="2"/>
        <v>496728088</v>
      </c>
      <c r="R32" s="189">
        <v>0.0</v>
      </c>
      <c r="S32" s="189">
        <v>0.0</v>
      </c>
      <c r="T32" s="190">
        <f t="shared" si="3"/>
        <v>496728088</v>
      </c>
      <c r="U32" s="191" t="s">
        <v>64</v>
      </c>
      <c r="V32" s="191" t="s">
        <v>64</v>
      </c>
      <c r="W32" s="192"/>
      <c r="X32" s="193">
        <v>45684.0</v>
      </c>
      <c r="Y32" s="193">
        <v>45927.0</v>
      </c>
      <c r="Z32" s="194">
        <v>0.0</v>
      </c>
      <c r="AA32" s="195">
        <v>0.0</v>
      </c>
      <c r="AB32" s="193">
        <v>45927.0</v>
      </c>
      <c r="AC32" s="66">
        <f t="shared" si="4"/>
        <v>-360</v>
      </c>
      <c r="AD32" s="55"/>
      <c r="AE32" s="55">
        <v>490.0</v>
      </c>
      <c r="AF32" s="196">
        <v>210.0</v>
      </c>
      <c r="AG32" s="196"/>
      <c r="AH32" s="95">
        <f t="shared" si="11"/>
        <v>700</v>
      </c>
      <c r="AI32" s="197">
        <v>700.0</v>
      </c>
      <c r="AJ32" s="88">
        <f t="shared" si="12"/>
        <v>0</v>
      </c>
      <c r="AK32" s="187"/>
      <c r="AL32" s="187"/>
      <c r="AM32" s="187"/>
      <c r="AN32" s="187"/>
      <c r="AO32" s="187">
        <v>0.0</v>
      </c>
      <c r="AP32" s="87">
        <v>700.0</v>
      </c>
      <c r="AQ32" s="187">
        <v>0.0</v>
      </c>
      <c r="AR32" s="113">
        <v>2.45E8</v>
      </c>
      <c r="AS32" s="113">
        <v>2.27519645E8</v>
      </c>
      <c r="AT32" s="198">
        <f t="shared" si="13"/>
        <v>1</v>
      </c>
      <c r="AU32" s="198">
        <f t="shared" si="10"/>
        <v>0.9286516122</v>
      </c>
      <c r="AV32" s="179" t="s">
        <v>233</v>
      </c>
      <c r="AW32" s="74"/>
      <c r="AX32" s="75"/>
      <c r="AY32" s="74"/>
      <c r="AZ32" s="76"/>
      <c r="BA32" s="76"/>
      <c r="BB32" s="76"/>
      <c r="BC32" s="77"/>
      <c r="BD32" s="76"/>
      <c r="BE32" s="117"/>
      <c r="BF32" s="199"/>
      <c r="BG32" s="199"/>
      <c r="BH32" s="199"/>
    </row>
    <row r="33" ht="102.0" customHeight="1">
      <c r="A33" s="50">
        <v>32.0</v>
      </c>
      <c r="B33" s="51">
        <v>2024.0</v>
      </c>
      <c r="C33" s="184" t="s">
        <v>234</v>
      </c>
      <c r="D33" s="52" t="s">
        <v>74</v>
      </c>
      <c r="E33" s="184" t="s">
        <v>75</v>
      </c>
      <c r="F33" s="53" t="s">
        <v>235</v>
      </c>
      <c r="G33" s="184" t="s">
        <v>236</v>
      </c>
      <c r="H33" s="184" t="s">
        <v>236</v>
      </c>
      <c r="I33" s="184" t="s">
        <v>127</v>
      </c>
      <c r="J33" s="184" t="s">
        <v>237</v>
      </c>
      <c r="K33" s="184" t="s">
        <v>238</v>
      </c>
      <c r="L33" s="200">
        <v>6.0</v>
      </c>
      <c r="M33" s="100">
        <v>1000.0</v>
      </c>
      <c r="N33" s="187"/>
      <c r="O33" s="113">
        <v>3.5E8</v>
      </c>
      <c r="P33" s="114">
        <v>4.0E8</v>
      </c>
      <c r="Q33" s="188">
        <f t="shared" si="2"/>
        <v>750000000</v>
      </c>
      <c r="R33" s="189">
        <v>0.0</v>
      </c>
      <c r="S33" s="189">
        <v>0.0</v>
      </c>
      <c r="T33" s="190">
        <f t="shared" si="3"/>
        <v>750000000</v>
      </c>
      <c r="U33" s="201" t="s">
        <v>64</v>
      </c>
      <c r="V33" s="201" t="s">
        <v>64</v>
      </c>
      <c r="W33" s="202"/>
      <c r="X33" s="203">
        <v>45687.0</v>
      </c>
      <c r="Y33" s="203">
        <v>45868.0</v>
      </c>
      <c r="Z33" s="194">
        <v>0.0</v>
      </c>
      <c r="AA33" s="195">
        <v>0.0</v>
      </c>
      <c r="AB33" s="203">
        <v>45868.0</v>
      </c>
      <c r="AC33" s="66">
        <f t="shared" si="4"/>
        <v>-419</v>
      </c>
      <c r="AD33" s="51"/>
      <c r="AE33" s="27">
        <v>1000.0</v>
      </c>
      <c r="AF33" s="51"/>
      <c r="AG33" s="51"/>
      <c r="AH33" s="95">
        <f t="shared" si="11"/>
        <v>1000</v>
      </c>
      <c r="AI33" s="87">
        <v>1000.0</v>
      </c>
      <c r="AJ33" s="88">
        <f t="shared" si="12"/>
        <v>0</v>
      </c>
      <c r="AK33" s="187"/>
      <c r="AL33" s="187"/>
      <c r="AM33" s="187"/>
      <c r="AN33" s="187"/>
      <c r="AO33" s="187">
        <v>0.0</v>
      </c>
      <c r="AP33" s="27">
        <v>1000.0</v>
      </c>
      <c r="AQ33" s="187">
        <v>0.0</v>
      </c>
      <c r="AR33" s="114">
        <v>3.5E8</v>
      </c>
      <c r="AS33" s="114">
        <v>3.23113145E8</v>
      </c>
      <c r="AT33" s="198">
        <f t="shared" si="13"/>
        <v>1</v>
      </c>
      <c r="AU33" s="198">
        <f t="shared" si="10"/>
        <v>0.9231804143</v>
      </c>
      <c r="AV33" s="204" t="s">
        <v>239</v>
      </c>
      <c r="AW33" s="74"/>
      <c r="AX33" s="75"/>
      <c r="AY33" s="74"/>
      <c r="AZ33" s="76"/>
      <c r="BA33" s="76"/>
      <c r="BB33" s="76"/>
      <c r="BC33" s="77"/>
      <c r="BD33" s="76"/>
      <c r="BE33" s="74"/>
      <c r="BF33" s="78"/>
      <c r="BG33" s="199"/>
      <c r="BH33" s="199"/>
    </row>
    <row r="34" ht="102.0" customHeight="1">
      <c r="A34" s="21">
        <v>33.0</v>
      </c>
      <c r="B34" s="22">
        <v>2024.0</v>
      </c>
      <c r="C34" s="23" t="s">
        <v>234</v>
      </c>
      <c r="D34" s="24" t="s">
        <v>74</v>
      </c>
      <c r="E34" s="23" t="s">
        <v>75</v>
      </c>
      <c r="F34" s="25" t="s">
        <v>240</v>
      </c>
      <c r="G34" s="23" t="s">
        <v>241</v>
      </c>
      <c r="H34" s="23" t="s">
        <v>241</v>
      </c>
      <c r="I34" s="23" t="s">
        <v>127</v>
      </c>
      <c r="J34" s="23" t="s">
        <v>242</v>
      </c>
      <c r="K34" s="23" t="s">
        <v>243</v>
      </c>
      <c r="L34" s="160">
        <v>6.0</v>
      </c>
      <c r="M34" s="173">
        <v>1000.0</v>
      </c>
      <c r="N34" s="162"/>
      <c r="O34" s="82">
        <v>3.5E8</v>
      </c>
      <c r="P34" s="135">
        <v>7.09358956E8</v>
      </c>
      <c r="Q34" s="163">
        <f t="shared" si="2"/>
        <v>1059358956</v>
      </c>
      <c r="R34" s="135">
        <v>0.0</v>
      </c>
      <c r="S34" s="164">
        <v>0.0</v>
      </c>
      <c r="T34" s="165">
        <f t="shared" si="3"/>
        <v>1059358956</v>
      </c>
      <c r="U34" s="166" t="s">
        <v>64</v>
      </c>
      <c r="V34" s="166" t="s">
        <v>64</v>
      </c>
      <c r="W34" s="167"/>
      <c r="X34" s="168">
        <v>45693.0</v>
      </c>
      <c r="Y34" s="168">
        <v>45874.0</v>
      </c>
      <c r="Z34" s="177">
        <v>0.0</v>
      </c>
      <c r="AA34" s="170">
        <v>0.0</v>
      </c>
      <c r="AB34" s="168">
        <v>45874.0</v>
      </c>
      <c r="AC34" s="38">
        <f t="shared" si="4"/>
        <v>-413</v>
      </c>
      <c r="AD34" s="22"/>
      <c r="AE34" s="27">
        <v>1000.0</v>
      </c>
      <c r="AF34" s="22"/>
      <c r="AG34" s="22"/>
      <c r="AH34" s="95">
        <f t="shared" si="11"/>
        <v>1000</v>
      </c>
      <c r="AI34" s="87">
        <v>1000.0</v>
      </c>
      <c r="AJ34" s="88">
        <f t="shared" si="12"/>
        <v>0</v>
      </c>
      <c r="AK34" s="162"/>
      <c r="AL34" s="162"/>
      <c r="AM34" s="162"/>
      <c r="AN34" s="162"/>
      <c r="AO34" s="162">
        <v>0.0</v>
      </c>
      <c r="AP34" s="27">
        <v>1000.0</v>
      </c>
      <c r="AQ34" s="162">
        <v>0.0</v>
      </c>
      <c r="AR34" s="82">
        <v>3.5E8</v>
      </c>
      <c r="AS34" s="82">
        <v>3.2011329E8</v>
      </c>
      <c r="AT34" s="171">
        <f t="shared" si="13"/>
        <v>1</v>
      </c>
      <c r="AU34" s="171">
        <f t="shared" si="10"/>
        <v>0.9146094</v>
      </c>
      <c r="AV34" s="179" t="s">
        <v>244</v>
      </c>
      <c r="AW34" s="91"/>
      <c r="AX34" s="43"/>
      <c r="AY34" s="91"/>
      <c r="AZ34" s="92"/>
      <c r="BA34" s="92"/>
      <c r="BB34" s="92"/>
      <c r="BC34" s="46"/>
      <c r="BD34" s="92"/>
      <c r="BE34" s="98"/>
      <c r="BF34" s="48"/>
      <c r="BG34" s="99"/>
      <c r="BH34" s="99"/>
    </row>
    <row r="35" ht="48.75" customHeight="1">
      <c r="A35" s="50">
        <v>34.0</v>
      </c>
      <c r="B35" s="51">
        <v>2024.0</v>
      </c>
      <c r="C35" s="184" t="s">
        <v>245</v>
      </c>
      <c r="D35" s="52" t="s">
        <v>74</v>
      </c>
      <c r="E35" s="184" t="s">
        <v>75</v>
      </c>
      <c r="F35" s="53" t="s">
        <v>246</v>
      </c>
      <c r="G35" s="184" t="s">
        <v>247</v>
      </c>
      <c r="H35" s="184" t="s">
        <v>247</v>
      </c>
      <c r="I35" s="184" t="s">
        <v>78</v>
      </c>
      <c r="J35" s="184" t="s">
        <v>248</v>
      </c>
      <c r="K35" s="184" t="s">
        <v>249</v>
      </c>
      <c r="L35" s="200">
        <v>7.0</v>
      </c>
      <c r="M35" s="205">
        <v>1000.0</v>
      </c>
      <c r="N35" s="187">
        <v>0.0</v>
      </c>
      <c r="O35" s="113">
        <v>0.0</v>
      </c>
      <c r="P35" s="114">
        <v>0.0</v>
      </c>
      <c r="Q35" s="188">
        <f t="shared" si="2"/>
        <v>0</v>
      </c>
      <c r="R35" s="189">
        <v>0.0</v>
      </c>
      <c r="S35" s="189">
        <v>0.0</v>
      </c>
      <c r="T35" s="190">
        <f t="shared" si="3"/>
        <v>0</v>
      </c>
      <c r="U35" s="62" t="s">
        <v>64</v>
      </c>
      <c r="V35" s="201" t="s">
        <v>88</v>
      </c>
      <c r="W35" s="202"/>
      <c r="X35" s="203">
        <v>45672.0</v>
      </c>
      <c r="Y35" s="203">
        <v>45853.0</v>
      </c>
      <c r="Z35" s="206">
        <v>0.0</v>
      </c>
      <c r="AA35" s="195">
        <v>0.0</v>
      </c>
      <c r="AB35" s="203">
        <v>45853.0</v>
      </c>
      <c r="AC35" s="66">
        <f t="shared" si="4"/>
        <v>-434</v>
      </c>
      <c r="AD35" s="51"/>
      <c r="AE35" s="51"/>
      <c r="AF35" s="51"/>
      <c r="AG35" s="51"/>
      <c r="AH35" s="39">
        <f t="shared" si="11"/>
        <v>0</v>
      </c>
      <c r="AI35" s="207">
        <v>0.0</v>
      </c>
      <c r="AJ35" s="70">
        <f t="shared" si="12"/>
        <v>0</v>
      </c>
      <c r="AK35" s="187"/>
      <c r="AL35" s="187"/>
      <c r="AM35" s="187"/>
      <c r="AN35" s="187"/>
      <c r="AO35" s="187">
        <v>0.0</v>
      </c>
      <c r="AP35" s="207">
        <v>0.0</v>
      </c>
      <c r="AQ35" s="187">
        <v>0.0</v>
      </c>
      <c r="AR35" s="114">
        <v>0.0</v>
      </c>
      <c r="AS35" s="114">
        <v>0.0</v>
      </c>
      <c r="AT35" s="171">
        <f t="shared" si="13"/>
        <v>0</v>
      </c>
      <c r="AU35" s="208">
        <v>0.0</v>
      </c>
      <c r="AV35" s="184" t="s">
        <v>250</v>
      </c>
      <c r="AW35" s="74"/>
      <c r="AX35" s="75"/>
      <c r="AY35" s="74"/>
      <c r="AZ35" s="76"/>
      <c r="BA35" s="76"/>
      <c r="BB35" s="76"/>
      <c r="BC35" s="209"/>
      <c r="BD35" s="210" t="s">
        <v>67</v>
      </c>
      <c r="BE35" s="76"/>
      <c r="BF35" s="78"/>
      <c r="BG35" s="199"/>
      <c r="BH35" s="199"/>
    </row>
    <row r="36" ht="85.5" customHeight="1">
      <c r="A36" s="21">
        <v>35.0</v>
      </c>
      <c r="B36" s="22">
        <v>2024.0</v>
      </c>
      <c r="C36" s="23" t="s">
        <v>245</v>
      </c>
      <c r="D36" s="24" t="s">
        <v>74</v>
      </c>
      <c r="E36" s="23" t="s">
        <v>75</v>
      </c>
      <c r="F36" s="25" t="s">
        <v>251</v>
      </c>
      <c r="G36" s="23" t="s">
        <v>252</v>
      </c>
      <c r="H36" s="23" t="s">
        <v>252</v>
      </c>
      <c r="I36" s="23" t="s">
        <v>85</v>
      </c>
      <c r="J36" s="23" t="s">
        <v>253</v>
      </c>
      <c r="K36" s="23" t="s">
        <v>254</v>
      </c>
      <c r="L36" s="160">
        <v>8.0</v>
      </c>
      <c r="M36" s="173">
        <v>1000.0</v>
      </c>
      <c r="N36" s="162"/>
      <c r="O36" s="82">
        <v>3.5E8</v>
      </c>
      <c r="P36" s="135">
        <v>6.64782E8</v>
      </c>
      <c r="Q36" s="163">
        <f t="shared" si="2"/>
        <v>1014782000</v>
      </c>
      <c r="R36" s="135">
        <v>0.0</v>
      </c>
      <c r="S36" s="164">
        <v>0.0</v>
      </c>
      <c r="T36" s="165">
        <f t="shared" si="3"/>
        <v>1014782000</v>
      </c>
      <c r="U36" s="166" t="s">
        <v>64</v>
      </c>
      <c r="V36" s="166" t="s">
        <v>64</v>
      </c>
      <c r="W36" s="167"/>
      <c r="X36" s="168">
        <v>45666.0</v>
      </c>
      <c r="Y36" s="168">
        <v>45909.0</v>
      </c>
      <c r="Z36" s="177">
        <v>0.0</v>
      </c>
      <c r="AA36" s="170">
        <v>0.0</v>
      </c>
      <c r="AB36" s="168">
        <v>45909.0</v>
      </c>
      <c r="AC36" s="38">
        <f t="shared" si="4"/>
        <v>-378</v>
      </c>
      <c r="AD36" s="22"/>
      <c r="AE36" s="22">
        <v>640.0</v>
      </c>
      <c r="AF36" s="22"/>
      <c r="AG36" s="22"/>
      <c r="AH36" s="69">
        <f t="shared" si="11"/>
        <v>640</v>
      </c>
      <c r="AI36" s="211">
        <v>640.0</v>
      </c>
      <c r="AJ36" s="70">
        <f t="shared" si="12"/>
        <v>0</v>
      </c>
      <c r="AK36" s="162"/>
      <c r="AL36" s="162"/>
      <c r="AM36" s="162"/>
      <c r="AN36" s="162"/>
      <c r="AO36" s="162">
        <v>0.0</v>
      </c>
      <c r="AP36" s="207">
        <v>640.0</v>
      </c>
      <c r="AQ36" s="162">
        <v>0.0</v>
      </c>
      <c r="AR36" s="82">
        <v>3.5E8</v>
      </c>
      <c r="AS36" s="82">
        <v>2.22158535E8</v>
      </c>
      <c r="AT36" s="171">
        <f t="shared" si="13"/>
        <v>0.64</v>
      </c>
      <c r="AU36" s="171">
        <f t="shared" ref="AU36:AU76" si="14">AS36/AR36</f>
        <v>0.6347386714</v>
      </c>
      <c r="AV36" s="179" t="s">
        <v>255</v>
      </c>
      <c r="AW36" s="91"/>
      <c r="AX36" s="43"/>
      <c r="AY36" s="91"/>
      <c r="AZ36" s="92"/>
      <c r="BA36" s="92"/>
      <c r="BB36" s="92"/>
      <c r="BC36" s="108"/>
      <c r="BD36" s="92"/>
      <c r="BE36" s="91"/>
      <c r="BF36" s="48"/>
      <c r="BG36" s="99"/>
      <c r="BH36" s="99"/>
    </row>
    <row r="37" ht="85.5" customHeight="1">
      <c r="A37" s="21">
        <v>36.0</v>
      </c>
      <c r="B37" s="22">
        <v>2024.0</v>
      </c>
      <c r="C37" s="23" t="s">
        <v>245</v>
      </c>
      <c r="D37" s="80" t="s">
        <v>74</v>
      </c>
      <c r="E37" s="172" t="s">
        <v>75</v>
      </c>
      <c r="F37" s="25" t="s">
        <v>256</v>
      </c>
      <c r="G37" s="23" t="s">
        <v>257</v>
      </c>
      <c r="H37" s="23" t="s">
        <v>257</v>
      </c>
      <c r="I37" s="23" t="s">
        <v>85</v>
      </c>
      <c r="J37" s="23" t="s">
        <v>258</v>
      </c>
      <c r="K37" s="23" t="s">
        <v>259</v>
      </c>
      <c r="L37" s="23">
        <v>8.0</v>
      </c>
      <c r="M37" s="173">
        <v>1000.0</v>
      </c>
      <c r="N37" s="162">
        <v>0.0</v>
      </c>
      <c r="O37" s="82">
        <v>3.5E8</v>
      </c>
      <c r="P37" s="82">
        <v>2.111260818E9</v>
      </c>
      <c r="Q37" s="163">
        <f t="shared" si="2"/>
        <v>2461260818</v>
      </c>
      <c r="R37" s="164">
        <v>0.0</v>
      </c>
      <c r="S37" s="164">
        <v>0.0</v>
      </c>
      <c r="T37" s="165">
        <f t="shared" si="3"/>
        <v>2461260818</v>
      </c>
      <c r="U37" s="174" t="s">
        <v>64</v>
      </c>
      <c r="V37" s="174" t="s">
        <v>64</v>
      </c>
      <c r="W37" s="175"/>
      <c r="X37" s="176">
        <v>45671.0</v>
      </c>
      <c r="Y37" s="176">
        <v>45914.0</v>
      </c>
      <c r="Z37" s="177">
        <v>0.0</v>
      </c>
      <c r="AA37" s="170">
        <v>0.0</v>
      </c>
      <c r="AB37" s="176">
        <v>45914.0</v>
      </c>
      <c r="AC37" s="38">
        <f t="shared" si="4"/>
        <v>-373</v>
      </c>
      <c r="AD37" s="27"/>
      <c r="AE37" s="27">
        <v>1000.0</v>
      </c>
      <c r="AF37" s="27"/>
      <c r="AG37" s="27"/>
      <c r="AH37" s="95">
        <f t="shared" si="11"/>
        <v>1000</v>
      </c>
      <c r="AI37" s="87">
        <v>1000.0</v>
      </c>
      <c r="AJ37" s="88">
        <f t="shared" si="12"/>
        <v>0</v>
      </c>
      <c r="AK37" s="162"/>
      <c r="AL37" s="162"/>
      <c r="AM37" s="162"/>
      <c r="AN37" s="162"/>
      <c r="AO37" s="162">
        <v>0.0</v>
      </c>
      <c r="AP37" s="178">
        <v>1000.0</v>
      </c>
      <c r="AQ37" s="162">
        <v>0.0</v>
      </c>
      <c r="AR37" s="82">
        <v>3.5E8</v>
      </c>
      <c r="AS37" s="82">
        <v>3.3951821E8</v>
      </c>
      <c r="AT37" s="171">
        <f t="shared" si="13"/>
        <v>1</v>
      </c>
      <c r="AU37" s="171">
        <f t="shared" si="14"/>
        <v>0.9700520286</v>
      </c>
      <c r="AV37" s="179" t="s">
        <v>260</v>
      </c>
      <c r="AW37" s="91"/>
      <c r="AX37" s="43"/>
      <c r="AY37" s="91"/>
      <c r="AZ37" s="92"/>
      <c r="BA37" s="92"/>
      <c r="BB37" s="92"/>
      <c r="BC37" s="46"/>
      <c r="BD37" s="92"/>
      <c r="BE37" s="91"/>
      <c r="BF37" s="99"/>
      <c r="BG37" s="99"/>
      <c r="BH37" s="99"/>
    </row>
    <row r="38" ht="102.0" customHeight="1">
      <c r="A38" s="21">
        <v>37.0</v>
      </c>
      <c r="B38" s="22">
        <v>2024.0</v>
      </c>
      <c r="C38" s="23" t="s">
        <v>261</v>
      </c>
      <c r="D38" s="80" t="s">
        <v>74</v>
      </c>
      <c r="E38" s="172" t="s">
        <v>75</v>
      </c>
      <c r="F38" s="25" t="s">
        <v>262</v>
      </c>
      <c r="G38" s="23" t="s">
        <v>263</v>
      </c>
      <c r="H38" s="23" t="s">
        <v>263</v>
      </c>
      <c r="I38" s="23" t="s">
        <v>78</v>
      </c>
      <c r="J38" s="23" t="s">
        <v>264</v>
      </c>
      <c r="K38" s="23" t="s">
        <v>265</v>
      </c>
      <c r="L38" s="23">
        <v>8.0</v>
      </c>
      <c r="M38" s="173">
        <v>1055.0</v>
      </c>
      <c r="N38" s="162">
        <v>0.0</v>
      </c>
      <c r="O38" s="82">
        <v>3.5E8</v>
      </c>
      <c r="P38" s="82">
        <v>6.06521273E8</v>
      </c>
      <c r="Q38" s="163">
        <f t="shared" si="2"/>
        <v>956521273</v>
      </c>
      <c r="R38" s="164">
        <v>0.0</v>
      </c>
      <c r="S38" s="164">
        <v>0.0</v>
      </c>
      <c r="T38" s="165">
        <f t="shared" si="3"/>
        <v>956521273</v>
      </c>
      <c r="U38" s="174" t="s">
        <v>64</v>
      </c>
      <c r="V38" s="174" t="s">
        <v>64</v>
      </c>
      <c r="W38" s="175"/>
      <c r="X38" s="176">
        <v>45679.0</v>
      </c>
      <c r="Y38" s="176">
        <v>45922.0</v>
      </c>
      <c r="Z38" s="177">
        <v>0.0</v>
      </c>
      <c r="AA38" s="170">
        <v>0.0</v>
      </c>
      <c r="AB38" s="176">
        <v>45922.0</v>
      </c>
      <c r="AC38" s="38">
        <f t="shared" si="4"/>
        <v>-365</v>
      </c>
      <c r="AD38" s="27"/>
      <c r="AE38" s="27">
        <v>1055.0</v>
      </c>
      <c r="AF38" s="27"/>
      <c r="AG38" s="27"/>
      <c r="AH38" s="95">
        <f t="shared" si="11"/>
        <v>1055</v>
      </c>
      <c r="AI38" s="178">
        <v>1055.0</v>
      </c>
      <c r="AJ38" s="88">
        <f t="shared" si="12"/>
        <v>0</v>
      </c>
      <c r="AK38" s="162"/>
      <c r="AL38" s="162"/>
      <c r="AM38" s="162"/>
      <c r="AN38" s="162"/>
      <c r="AO38" s="162">
        <v>0.0</v>
      </c>
      <c r="AP38" s="178">
        <v>1055.0</v>
      </c>
      <c r="AQ38" s="162">
        <v>0.0</v>
      </c>
      <c r="AR38" s="82">
        <v>3.5E8</v>
      </c>
      <c r="AS38" s="82">
        <v>3.24154479E8</v>
      </c>
      <c r="AT38" s="171">
        <f t="shared" si="13"/>
        <v>1</v>
      </c>
      <c r="AU38" s="171">
        <f t="shared" si="14"/>
        <v>0.9261556543</v>
      </c>
      <c r="AV38" s="179" t="s">
        <v>266</v>
      </c>
      <c r="AW38" s="91"/>
      <c r="AX38" s="43"/>
      <c r="AY38" s="91"/>
      <c r="AZ38" s="92"/>
      <c r="BA38" s="92"/>
      <c r="BB38" s="92"/>
      <c r="BC38" s="108"/>
      <c r="BD38" s="92"/>
      <c r="BE38" s="92"/>
      <c r="BF38" s="99"/>
      <c r="BG38" s="99"/>
      <c r="BH38" s="99"/>
    </row>
    <row r="39" ht="102.0" customHeight="1">
      <c r="A39" s="50">
        <v>38.0</v>
      </c>
      <c r="B39" s="51">
        <v>2024.0</v>
      </c>
      <c r="C39" s="184" t="s">
        <v>267</v>
      </c>
      <c r="D39" s="52" t="s">
        <v>74</v>
      </c>
      <c r="E39" s="184" t="s">
        <v>75</v>
      </c>
      <c r="F39" s="53" t="s">
        <v>268</v>
      </c>
      <c r="G39" s="184" t="s">
        <v>269</v>
      </c>
      <c r="H39" s="184" t="s">
        <v>269</v>
      </c>
      <c r="I39" s="184" t="s">
        <v>120</v>
      </c>
      <c r="J39" s="184" t="s">
        <v>270</v>
      </c>
      <c r="K39" s="184" t="s">
        <v>271</v>
      </c>
      <c r="L39" s="200">
        <v>5.0</v>
      </c>
      <c r="M39" s="100">
        <v>1000.0</v>
      </c>
      <c r="N39" s="187"/>
      <c r="O39" s="113">
        <v>3.5E8</v>
      </c>
      <c r="P39" s="114">
        <v>1.72E8</v>
      </c>
      <c r="Q39" s="188">
        <f t="shared" si="2"/>
        <v>522000000</v>
      </c>
      <c r="R39" s="189">
        <v>0.0</v>
      </c>
      <c r="S39" s="189">
        <v>0.0</v>
      </c>
      <c r="T39" s="190">
        <f t="shared" si="3"/>
        <v>522000000</v>
      </c>
      <c r="U39" s="201" t="s">
        <v>220</v>
      </c>
      <c r="V39" s="201" t="s">
        <v>220</v>
      </c>
      <c r="W39" s="202"/>
      <c r="X39" s="203">
        <v>45672.0</v>
      </c>
      <c r="Y39" s="203">
        <v>45915.0</v>
      </c>
      <c r="Z39" s="194">
        <v>0.0</v>
      </c>
      <c r="AA39" s="195">
        <v>0.0</v>
      </c>
      <c r="AB39" s="203">
        <v>45915.0</v>
      </c>
      <c r="AC39" s="66">
        <f t="shared" si="4"/>
        <v>-372</v>
      </c>
      <c r="AD39" s="51"/>
      <c r="AE39" s="27">
        <v>1000.0</v>
      </c>
      <c r="AF39" s="212"/>
      <c r="AG39" s="212"/>
      <c r="AH39" s="95">
        <f t="shared" si="11"/>
        <v>1000</v>
      </c>
      <c r="AI39" s="87">
        <v>1000.0</v>
      </c>
      <c r="AJ39" s="88">
        <f t="shared" si="12"/>
        <v>0</v>
      </c>
      <c r="AK39" s="187"/>
      <c r="AL39" s="187"/>
      <c r="AM39" s="187"/>
      <c r="AN39" s="187"/>
      <c r="AO39" s="187">
        <v>0.0</v>
      </c>
      <c r="AP39" s="100">
        <v>1000.0</v>
      </c>
      <c r="AQ39" s="213">
        <v>0.0</v>
      </c>
      <c r="AR39" s="114">
        <v>3.5E8</v>
      </c>
      <c r="AS39" s="114">
        <v>3.10981086E8</v>
      </c>
      <c r="AT39" s="198">
        <f t="shared" si="13"/>
        <v>1</v>
      </c>
      <c r="AU39" s="198">
        <f t="shared" si="14"/>
        <v>0.8885173886</v>
      </c>
      <c r="AV39" s="118" t="s">
        <v>272</v>
      </c>
      <c r="AW39" s="74"/>
      <c r="AX39" s="214">
        <v>46153.0</v>
      </c>
      <c r="AY39" s="215" t="s">
        <v>273</v>
      </c>
      <c r="AZ39" s="76"/>
      <c r="BA39" s="76"/>
      <c r="BB39" s="76"/>
      <c r="BC39" s="209"/>
      <c r="BD39" s="210" t="s">
        <v>274</v>
      </c>
      <c r="BE39" s="216">
        <v>46234.0</v>
      </c>
      <c r="BF39" s="78"/>
      <c r="BG39" s="199"/>
      <c r="BH39" s="199"/>
    </row>
    <row r="40" ht="102.0" customHeight="1">
      <c r="A40" s="21">
        <v>39.0</v>
      </c>
      <c r="B40" s="22">
        <v>2024.0</v>
      </c>
      <c r="C40" s="23" t="s">
        <v>275</v>
      </c>
      <c r="D40" s="24" t="s">
        <v>74</v>
      </c>
      <c r="E40" s="23" t="s">
        <v>75</v>
      </c>
      <c r="F40" s="25" t="s">
        <v>276</v>
      </c>
      <c r="G40" s="23" t="s">
        <v>119</v>
      </c>
      <c r="H40" s="23" t="s">
        <v>119</v>
      </c>
      <c r="I40" s="23" t="s">
        <v>120</v>
      </c>
      <c r="J40" s="23" t="s">
        <v>277</v>
      </c>
      <c r="K40" s="23" t="s">
        <v>278</v>
      </c>
      <c r="L40" s="160">
        <v>4.0</v>
      </c>
      <c r="M40" s="173">
        <v>500.0</v>
      </c>
      <c r="N40" s="162"/>
      <c r="O40" s="82">
        <v>1.74996617E8</v>
      </c>
      <c r="P40" s="135">
        <v>3.96421206E8</v>
      </c>
      <c r="Q40" s="163">
        <f t="shared" si="2"/>
        <v>571417823</v>
      </c>
      <c r="R40" s="164">
        <v>0.0</v>
      </c>
      <c r="S40" s="164">
        <v>0.0</v>
      </c>
      <c r="T40" s="165">
        <f t="shared" si="3"/>
        <v>571417823</v>
      </c>
      <c r="U40" s="166" t="s">
        <v>64</v>
      </c>
      <c r="V40" s="166" t="s">
        <v>64</v>
      </c>
      <c r="W40" s="167"/>
      <c r="X40" s="168">
        <v>45505.0</v>
      </c>
      <c r="Y40" s="168">
        <v>45656.0</v>
      </c>
      <c r="Z40" s="177">
        <v>0.0</v>
      </c>
      <c r="AA40" s="170">
        <v>0.0</v>
      </c>
      <c r="AB40" s="168">
        <v>45656.0</v>
      </c>
      <c r="AC40" s="38">
        <f t="shared" si="4"/>
        <v>-631</v>
      </c>
      <c r="AD40" s="22">
        <v>300.0</v>
      </c>
      <c r="AE40" s="22">
        <v>200.0</v>
      </c>
      <c r="AF40" s="22"/>
      <c r="AG40" s="22"/>
      <c r="AH40" s="69">
        <f t="shared" si="11"/>
        <v>500</v>
      </c>
      <c r="AI40" s="207">
        <v>500.0</v>
      </c>
      <c r="AJ40" s="70">
        <f t="shared" si="12"/>
        <v>0</v>
      </c>
      <c r="AK40" s="162"/>
      <c r="AL40" s="162"/>
      <c r="AM40" s="162"/>
      <c r="AN40" s="162"/>
      <c r="AO40" s="162">
        <v>0.0</v>
      </c>
      <c r="AP40" s="87">
        <v>500.0</v>
      </c>
      <c r="AQ40" s="162">
        <v>0.0</v>
      </c>
      <c r="AR40" s="135">
        <v>1.74996617E8</v>
      </c>
      <c r="AS40" s="135">
        <v>1.74996617E8</v>
      </c>
      <c r="AT40" s="171">
        <f t="shared" si="13"/>
        <v>1</v>
      </c>
      <c r="AU40" s="171">
        <f t="shared" si="14"/>
        <v>1</v>
      </c>
      <c r="AV40" s="217" t="s">
        <v>279</v>
      </c>
      <c r="AW40" s="91"/>
      <c r="AX40" s="43"/>
      <c r="AY40" s="91"/>
      <c r="AZ40" s="92"/>
      <c r="BA40" s="92"/>
      <c r="BB40" s="92"/>
      <c r="BC40" s="108"/>
      <c r="BD40" s="92"/>
      <c r="BE40" s="91"/>
      <c r="BF40" s="48"/>
      <c r="BG40" s="99"/>
      <c r="BH40" s="99"/>
    </row>
    <row r="41" ht="102.0" customHeight="1">
      <c r="A41" s="50">
        <v>40.0</v>
      </c>
      <c r="B41" s="51">
        <v>2024.0</v>
      </c>
      <c r="C41" s="184" t="s">
        <v>267</v>
      </c>
      <c r="D41" s="52" t="s">
        <v>74</v>
      </c>
      <c r="E41" s="184" t="s">
        <v>75</v>
      </c>
      <c r="F41" s="53" t="s">
        <v>280</v>
      </c>
      <c r="G41" s="184" t="s">
        <v>281</v>
      </c>
      <c r="H41" s="184" t="s">
        <v>281</v>
      </c>
      <c r="I41" s="184" t="s">
        <v>120</v>
      </c>
      <c r="J41" s="184" t="s">
        <v>253</v>
      </c>
      <c r="K41" s="184" t="s">
        <v>282</v>
      </c>
      <c r="L41" s="200">
        <v>8.0</v>
      </c>
      <c r="M41" s="100">
        <v>1500.0</v>
      </c>
      <c r="N41" s="187"/>
      <c r="O41" s="113">
        <v>5.25E8</v>
      </c>
      <c r="P41" s="114">
        <v>8.72615688E8</v>
      </c>
      <c r="Q41" s="188">
        <f t="shared" si="2"/>
        <v>1397615688</v>
      </c>
      <c r="R41" s="114">
        <v>0.0</v>
      </c>
      <c r="S41" s="189">
        <v>0.0</v>
      </c>
      <c r="T41" s="190">
        <f t="shared" si="3"/>
        <v>1397615688</v>
      </c>
      <c r="U41" s="201" t="s">
        <v>220</v>
      </c>
      <c r="V41" s="201" t="s">
        <v>220</v>
      </c>
      <c r="W41" s="202"/>
      <c r="X41" s="203">
        <v>45672.0</v>
      </c>
      <c r="Y41" s="203">
        <v>45915.0</v>
      </c>
      <c r="Z41" s="194">
        <v>0.0</v>
      </c>
      <c r="AA41" s="195">
        <v>0.0</v>
      </c>
      <c r="AB41" s="203">
        <v>45909.0</v>
      </c>
      <c r="AC41" s="66">
        <f t="shared" si="4"/>
        <v>-378</v>
      </c>
      <c r="AD41" s="51"/>
      <c r="AE41" s="100">
        <v>1455.0</v>
      </c>
      <c r="AF41" s="51">
        <v>45.0</v>
      </c>
      <c r="AG41" s="51"/>
      <c r="AH41" s="95">
        <f t="shared" si="11"/>
        <v>1500</v>
      </c>
      <c r="AI41" s="207">
        <v>1500.0</v>
      </c>
      <c r="AJ41" s="88">
        <f t="shared" si="12"/>
        <v>0</v>
      </c>
      <c r="AK41" s="187"/>
      <c r="AL41" s="187"/>
      <c r="AM41" s="187"/>
      <c r="AN41" s="187"/>
      <c r="AO41" s="187">
        <v>0.0</v>
      </c>
      <c r="AP41" s="87">
        <v>1500.0</v>
      </c>
      <c r="AQ41" s="187">
        <v>0.0</v>
      </c>
      <c r="AR41" s="113">
        <v>5.25E8</v>
      </c>
      <c r="AS41" s="113">
        <v>4.54826377E8</v>
      </c>
      <c r="AT41" s="198">
        <f t="shared" si="13"/>
        <v>1</v>
      </c>
      <c r="AU41" s="198">
        <f t="shared" si="14"/>
        <v>0.8663359562</v>
      </c>
      <c r="AV41" s="179" t="s">
        <v>283</v>
      </c>
      <c r="AW41" s="74"/>
      <c r="AX41" s="214">
        <v>46125.0</v>
      </c>
      <c r="AY41" s="215" t="s">
        <v>273</v>
      </c>
      <c r="AZ41" s="76"/>
      <c r="BA41" s="76"/>
      <c r="BB41" s="76"/>
      <c r="BC41" s="77"/>
      <c r="BD41" s="210" t="s">
        <v>274</v>
      </c>
      <c r="BE41" s="218">
        <v>46234.0</v>
      </c>
      <c r="BF41" s="78"/>
      <c r="BG41" s="199"/>
      <c r="BH41" s="199"/>
    </row>
    <row r="42" ht="102.0" customHeight="1">
      <c r="A42" s="50">
        <v>41.0</v>
      </c>
      <c r="B42" s="51">
        <v>2024.0</v>
      </c>
      <c r="C42" s="184" t="s">
        <v>267</v>
      </c>
      <c r="D42" s="52" t="s">
        <v>74</v>
      </c>
      <c r="E42" s="184" t="s">
        <v>75</v>
      </c>
      <c r="F42" s="53" t="s">
        <v>284</v>
      </c>
      <c r="G42" s="184" t="s">
        <v>285</v>
      </c>
      <c r="H42" s="184" t="s">
        <v>285</v>
      </c>
      <c r="I42" s="184" t="s">
        <v>120</v>
      </c>
      <c r="J42" s="184" t="s">
        <v>286</v>
      </c>
      <c r="K42" s="184" t="s">
        <v>287</v>
      </c>
      <c r="L42" s="200">
        <v>8.0</v>
      </c>
      <c r="M42" s="100">
        <v>1000.0</v>
      </c>
      <c r="N42" s="187"/>
      <c r="O42" s="113">
        <v>3.5E8</v>
      </c>
      <c r="P42" s="114">
        <v>1.195924086E9</v>
      </c>
      <c r="Q42" s="188">
        <f t="shared" si="2"/>
        <v>1545924086</v>
      </c>
      <c r="R42" s="114">
        <v>0.0</v>
      </c>
      <c r="S42" s="189">
        <v>0.0</v>
      </c>
      <c r="T42" s="190">
        <f t="shared" si="3"/>
        <v>1545924086</v>
      </c>
      <c r="U42" s="201" t="s">
        <v>220</v>
      </c>
      <c r="V42" s="201" t="s">
        <v>220</v>
      </c>
      <c r="W42" s="202"/>
      <c r="X42" s="203">
        <v>45693.0</v>
      </c>
      <c r="Y42" s="203">
        <v>45935.0</v>
      </c>
      <c r="Z42" s="194">
        <v>0.0</v>
      </c>
      <c r="AA42" s="195">
        <v>0.0</v>
      </c>
      <c r="AB42" s="203">
        <v>45935.0</v>
      </c>
      <c r="AC42" s="66">
        <f t="shared" si="4"/>
        <v>-352</v>
      </c>
      <c r="AD42" s="51"/>
      <c r="AE42" s="27">
        <v>1000.0</v>
      </c>
      <c r="AF42" s="51"/>
      <c r="AG42" s="51"/>
      <c r="AH42" s="95">
        <f t="shared" si="11"/>
        <v>1000</v>
      </c>
      <c r="AI42" s="87">
        <v>1000.0</v>
      </c>
      <c r="AJ42" s="88">
        <f t="shared" si="12"/>
        <v>0</v>
      </c>
      <c r="AK42" s="187"/>
      <c r="AL42" s="187"/>
      <c r="AM42" s="187"/>
      <c r="AN42" s="187"/>
      <c r="AO42" s="187">
        <v>0.0</v>
      </c>
      <c r="AP42" s="100">
        <v>1000.0</v>
      </c>
      <c r="AQ42" s="187">
        <v>0.0</v>
      </c>
      <c r="AR42" s="113">
        <v>3.5E8</v>
      </c>
      <c r="AS42" s="113">
        <v>3.16956859E8</v>
      </c>
      <c r="AT42" s="198">
        <f t="shared" si="13"/>
        <v>1</v>
      </c>
      <c r="AU42" s="198">
        <f t="shared" si="14"/>
        <v>0.9055910257</v>
      </c>
      <c r="AV42" s="179" t="s">
        <v>288</v>
      </c>
      <c r="AW42" s="74"/>
      <c r="AX42" s="214">
        <v>46203.0</v>
      </c>
      <c r="AY42" s="215" t="s">
        <v>273</v>
      </c>
      <c r="AZ42" s="210" t="s">
        <v>68</v>
      </c>
      <c r="BA42" s="210" t="s">
        <v>68</v>
      </c>
      <c r="BB42" s="219" t="s">
        <v>68</v>
      </c>
      <c r="BC42" s="77"/>
      <c r="BD42" s="210" t="s">
        <v>274</v>
      </c>
      <c r="BE42" s="220">
        <v>46234.0</v>
      </c>
      <c r="BF42" s="78"/>
      <c r="BG42" s="199"/>
      <c r="BH42" s="199"/>
    </row>
    <row r="43" ht="102.0" customHeight="1">
      <c r="A43" s="50">
        <v>42.0</v>
      </c>
      <c r="B43" s="56">
        <v>2024.0</v>
      </c>
      <c r="C43" s="184" t="s">
        <v>267</v>
      </c>
      <c r="D43" s="185" t="s">
        <v>74</v>
      </c>
      <c r="E43" s="186" t="s">
        <v>75</v>
      </c>
      <c r="F43" s="53" t="s">
        <v>289</v>
      </c>
      <c r="G43" s="184" t="s">
        <v>290</v>
      </c>
      <c r="H43" s="184" t="s">
        <v>290</v>
      </c>
      <c r="I43" s="184" t="s">
        <v>120</v>
      </c>
      <c r="J43" s="184" t="s">
        <v>291</v>
      </c>
      <c r="K43" s="184" t="s">
        <v>292</v>
      </c>
      <c r="L43" s="184">
        <v>8.0</v>
      </c>
      <c r="M43" s="100">
        <v>530.0</v>
      </c>
      <c r="N43" s="187">
        <v>0.0</v>
      </c>
      <c r="O43" s="113">
        <v>1.855E8</v>
      </c>
      <c r="P43" s="113">
        <v>4.52537793E8</v>
      </c>
      <c r="Q43" s="188">
        <f t="shared" si="2"/>
        <v>638037793</v>
      </c>
      <c r="R43" s="189">
        <v>0.0</v>
      </c>
      <c r="S43" s="189">
        <v>0.0</v>
      </c>
      <c r="T43" s="190">
        <f t="shared" si="3"/>
        <v>638037793</v>
      </c>
      <c r="U43" s="221" t="s">
        <v>220</v>
      </c>
      <c r="V43" s="221" t="s">
        <v>220</v>
      </c>
      <c r="W43" s="192"/>
      <c r="X43" s="193">
        <v>45686.0</v>
      </c>
      <c r="Y43" s="193">
        <v>45929.0</v>
      </c>
      <c r="Z43" s="194">
        <v>0.0</v>
      </c>
      <c r="AA43" s="195">
        <v>0.0</v>
      </c>
      <c r="AB43" s="193">
        <v>45929.0</v>
      </c>
      <c r="AC43" s="66">
        <f t="shared" si="4"/>
        <v>-358</v>
      </c>
      <c r="AD43" s="55"/>
      <c r="AE43" s="55">
        <v>530.0</v>
      </c>
      <c r="AF43" s="55"/>
      <c r="AG43" s="55"/>
      <c r="AH43" s="95">
        <f t="shared" si="11"/>
        <v>530</v>
      </c>
      <c r="AI43" s="178">
        <v>530.0</v>
      </c>
      <c r="AJ43" s="88">
        <f t="shared" si="12"/>
        <v>0</v>
      </c>
      <c r="AK43" s="187"/>
      <c r="AL43" s="187"/>
      <c r="AM43" s="187"/>
      <c r="AN43" s="187"/>
      <c r="AO43" s="187">
        <v>0.0</v>
      </c>
      <c r="AP43" s="178">
        <v>530.0</v>
      </c>
      <c r="AQ43" s="187">
        <v>0.0</v>
      </c>
      <c r="AR43" s="113">
        <v>1.855E8</v>
      </c>
      <c r="AS43" s="113">
        <v>1.70592201E8</v>
      </c>
      <c r="AT43" s="198">
        <f t="shared" si="13"/>
        <v>1</v>
      </c>
      <c r="AU43" s="198">
        <f t="shared" si="14"/>
        <v>0.9196345067</v>
      </c>
      <c r="AV43" s="179" t="s">
        <v>293</v>
      </c>
      <c r="AW43" s="74"/>
      <c r="AX43" s="214">
        <v>46146.0</v>
      </c>
      <c r="AY43" s="215" t="s">
        <v>273</v>
      </c>
      <c r="AZ43" s="210" t="s">
        <v>68</v>
      </c>
      <c r="BA43" s="210" t="s">
        <v>68</v>
      </c>
      <c r="BB43" s="219" t="s">
        <v>68</v>
      </c>
      <c r="BC43" s="222"/>
      <c r="BD43" s="210" t="s">
        <v>274</v>
      </c>
      <c r="BE43" s="216">
        <v>46234.0</v>
      </c>
      <c r="BF43" s="199"/>
      <c r="BG43" s="199"/>
      <c r="BH43" s="199"/>
    </row>
    <row r="44" ht="102.0" customHeight="1">
      <c r="A44" s="50">
        <v>43.0</v>
      </c>
      <c r="B44" s="56">
        <v>2024.0</v>
      </c>
      <c r="C44" s="184" t="s">
        <v>267</v>
      </c>
      <c r="D44" s="185" t="s">
        <v>74</v>
      </c>
      <c r="E44" s="186" t="s">
        <v>75</v>
      </c>
      <c r="F44" s="53" t="s">
        <v>294</v>
      </c>
      <c r="G44" s="184" t="s">
        <v>295</v>
      </c>
      <c r="H44" s="184" t="s">
        <v>295</v>
      </c>
      <c r="I44" s="184" t="s">
        <v>120</v>
      </c>
      <c r="J44" s="184" t="s">
        <v>296</v>
      </c>
      <c r="K44" s="184" t="s">
        <v>297</v>
      </c>
      <c r="L44" s="184">
        <v>5.0</v>
      </c>
      <c r="M44" s="100">
        <v>300.0</v>
      </c>
      <c r="N44" s="187">
        <v>0.0</v>
      </c>
      <c r="O44" s="113">
        <v>9.9279113E7</v>
      </c>
      <c r="P44" s="113">
        <v>9.3947684E7</v>
      </c>
      <c r="Q44" s="188">
        <f t="shared" si="2"/>
        <v>193226797</v>
      </c>
      <c r="R44" s="189">
        <v>0.0</v>
      </c>
      <c r="S44" s="189">
        <v>0.0</v>
      </c>
      <c r="T44" s="190">
        <f t="shared" si="3"/>
        <v>193226797</v>
      </c>
      <c r="U44" s="221" t="s">
        <v>220</v>
      </c>
      <c r="V44" s="221" t="s">
        <v>220</v>
      </c>
      <c r="W44" s="192"/>
      <c r="X44" s="193">
        <v>45492.0</v>
      </c>
      <c r="Y44" s="193">
        <v>45656.0</v>
      </c>
      <c r="Z44" s="194">
        <v>0.0</v>
      </c>
      <c r="AA44" s="195">
        <v>0.0</v>
      </c>
      <c r="AB44" s="193">
        <v>45656.0</v>
      </c>
      <c r="AC44" s="66">
        <f t="shared" si="4"/>
        <v>-631</v>
      </c>
      <c r="AD44" s="55">
        <v>120.0</v>
      </c>
      <c r="AE44" s="55">
        <v>180.0</v>
      </c>
      <c r="AF44" s="55"/>
      <c r="AG44" s="55"/>
      <c r="AH44" s="95">
        <f t="shared" si="11"/>
        <v>300</v>
      </c>
      <c r="AI44" s="178">
        <v>300.0</v>
      </c>
      <c r="AJ44" s="88">
        <f t="shared" si="12"/>
        <v>0</v>
      </c>
      <c r="AK44" s="187"/>
      <c r="AL44" s="187"/>
      <c r="AM44" s="187"/>
      <c r="AN44" s="187"/>
      <c r="AO44" s="187">
        <v>0.0</v>
      </c>
      <c r="AP44" s="87">
        <v>300.0</v>
      </c>
      <c r="AQ44" s="187">
        <v>0.0</v>
      </c>
      <c r="AR44" s="113">
        <v>9.9279113E7</v>
      </c>
      <c r="AS44" s="113">
        <v>9.517013E7</v>
      </c>
      <c r="AT44" s="198">
        <f t="shared" si="13"/>
        <v>1</v>
      </c>
      <c r="AU44" s="198">
        <f t="shared" si="14"/>
        <v>0.9586118079</v>
      </c>
      <c r="AV44" s="184" t="s">
        <v>298</v>
      </c>
      <c r="AW44" s="74"/>
      <c r="AX44" s="214">
        <v>45981.0</v>
      </c>
      <c r="AY44" s="215" t="s">
        <v>273</v>
      </c>
      <c r="AZ44" s="210" t="s">
        <v>68</v>
      </c>
      <c r="BA44" s="210" t="s">
        <v>68</v>
      </c>
      <c r="BB44" s="219" t="s">
        <v>68</v>
      </c>
      <c r="BC44" s="77"/>
      <c r="BD44" s="210" t="s">
        <v>274</v>
      </c>
      <c r="BE44" s="218">
        <v>46234.0</v>
      </c>
      <c r="BF44" s="199"/>
      <c r="BG44" s="199"/>
      <c r="BH44" s="199"/>
    </row>
    <row r="45" ht="102.0" customHeight="1">
      <c r="A45" s="50">
        <v>44.0</v>
      </c>
      <c r="B45" s="51">
        <v>2024.0</v>
      </c>
      <c r="C45" s="184" t="s">
        <v>267</v>
      </c>
      <c r="D45" s="185" t="s">
        <v>74</v>
      </c>
      <c r="E45" s="186" t="s">
        <v>75</v>
      </c>
      <c r="F45" s="53" t="s">
        <v>299</v>
      </c>
      <c r="G45" s="184" t="s">
        <v>300</v>
      </c>
      <c r="H45" s="184" t="s">
        <v>300</v>
      </c>
      <c r="I45" s="184" t="s">
        <v>120</v>
      </c>
      <c r="J45" s="184" t="s">
        <v>301</v>
      </c>
      <c r="K45" s="184" t="s">
        <v>302</v>
      </c>
      <c r="L45" s="184">
        <v>8.0</v>
      </c>
      <c r="M45" s="100">
        <v>1000.0</v>
      </c>
      <c r="N45" s="187">
        <v>0.0</v>
      </c>
      <c r="O45" s="113">
        <v>3.5E8</v>
      </c>
      <c r="P45" s="113">
        <v>5.97465E8</v>
      </c>
      <c r="Q45" s="188">
        <f t="shared" si="2"/>
        <v>947465000</v>
      </c>
      <c r="R45" s="189">
        <v>0.0</v>
      </c>
      <c r="S45" s="189">
        <v>0.0</v>
      </c>
      <c r="T45" s="190">
        <f t="shared" si="3"/>
        <v>947465000</v>
      </c>
      <c r="U45" s="221" t="s">
        <v>220</v>
      </c>
      <c r="V45" s="221" t="s">
        <v>220</v>
      </c>
      <c r="W45" s="192"/>
      <c r="X45" s="193">
        <v>45686.0</v>
      </c>
      <c r="Y45" s="193">
        <v>45929.0</v>
      </c>
      <c r="Z45" s="194">
        <v>0.0</v>
      </c>
      <c r="AA45" s="195">
        <v>0.0</v>
      </c>
      <c r="AB45" s="193">
        <v>45929.0</v>
      </c>
      <c r="AC45" s="66">
        <f t="shared" si="4"/>
        <v>-358</v>
      </c>
      <c r="AD45" s="55"/>
      <c r="AE45" s="55">
        <v>950.0</v>
      </c>
      <c r="AF45" s="55">
        <v>50.0</v>
      </c>
      <c r="AG45" s="55"/>
      <c r="AH45" s="95">
        <f t="shared" si="11"/>
        <v>1000</v>
      </c>
      <c r="AI45" s="87">
        <v>1000.0</v>
      </c>
      <c r="AJ45" s="88">
        <f t="shared" si="12"/>
        <v>0</v>
      </c>
      <c r="AK45" s="187"/>
      <c r="AL45" s="187"/>
      <c r="AM45" s="187"/>
      <c r="AN45" s="187"/>
      <c r="AO45" s="187">
        <v>0.0</v>
      </c>
      <c r="AP45" s="87">
        <v>1000.0</v>
      </c>
      <c r="AQ45" s="187">
        <v>0.0</v>
      </c>
      <c r="AR45" s="113">
        <v>3.5E8</v>
      </c>
      <c r="AS45" s="113">
        <v>3.18106238E8</v>
      </c>
      <c r="AT45" s="198">
        <f t="shared" si="13"/>
        <v>1</v>
      </c>
      <c r="AU45" s="198">
        <f t="shared" si="14"/>
        <v>0.9088749657</v>
      </c>
      <c r="AV45" s="179" t="s">
        <v>303</v>
      </c>
      <c r="AW45" s="74"/>
      <c r="AX45" s="214">
        <v>46183.0</v>
      </c>
      <c r="AY45" s="215" t="s">
        <v>273</v>
      </c>
      <c r="AZ45" s="210" t="s">
        <v>68</v>
      </c>
      <c r="BA45" s="210" t="s">
        <v>68</v>
      </c>
      <c r="BB45" s="219" t="s">
        <v>68</v>
      </c>
      <c r="BC45" s="77"/>
      <c r="BD45" s="210" t="s">
        <v>274</v>
      </c>
      <c r="BE45" s="218">
        <v>46234.0</v>
      </c>
      <c r="BF45" s="199"/>
      <c r="BG45" s="199"/>
      <c r="BH45" s="199"/>
    </row>
    <row r="46" ht="102.0" customHeight="1">
      <c r="A46" s="50">
        <v>45.0</v>
      </c>
      <c r="B46" s="51">
        <v>2024.0</v>
      </c>
      <c r="C46" s="184" t="s">
        <v>267</v>
      </c>
      <c r="D46" s="185" t="s">
        <v>74</v>
      </c>
      <c r="E46" s="186" t="s">
        <v>75</v>
      </c>
      <c r="F46" s="53" t="s">
        <v>304</v>
      </c>
      <c r="G46" s="184" t="s">
        <v>305</v>
      </c>
      <c r="H46" s="184" t="s">
        <v>305</v>
      </c>
      <c r="I46" s="184" t="s">
        <v>120</v>
      </c>
      <c r="J46" s="184" t="s">
        <v>306</v>
      </c>
      <c r="K46" s="184" t="s">
        <v>307</v>
      </c>
      <c r="L46" s="184">
        <v>8.0</v>
      </c>
      <c r="M46" s="100">
        <v>1000.0</v>
      </c>
      <c r="N46" s="187">
        <v>0.0</v>
      </c>
      <c r="O46" s="113">
        <v>3.5E8</v>
      </c>
      <c r="P46" s="113">
        <v>3.0E8</v>
      </c>
      <c r="Q46" s="188">
        <f t="shared" si="2"/>
        <v>650000000</v>
      </c>
      <c r="R46" s="189">
        <v>0.0</v>
      </c>
      <c r="S46" s="189">
        <v>0.0</v>
      </c>
      <c r="T46" s="190">
        <f t="shared" si="3"/>
        <v>650000000</v>
      </c>
      <c r="U46" s="221" t="s">
        <v>220</v>
      </c>
      <c r="V46" s="221" t="s">
        <v>220</v>
      </c>
      <c r="W46" s="192"/>
      <c r="X46" s="193">
        <v>45741.0</v>
      </c>
      <c r="Y46" s="193">
        <v>45741.0</v>
      </c>
      <c r="Z46" s="194">
        <v>0.0</v>
      </c>
      <c r="AA46" s="195">
        <v>0.0</v>
      </c>
      <c r="AB46" s="193">
        <v>45741.0</v>
      </c>
      <c r="AC46" s="66">
        <f t="shared" si="4"/>
        <v>-546</v>
      </c>
      <c r="AD46" s="55"/>
      <c r="AE46" s="55">
        <v>900.0</v>
      </c>
      <c r="AF46" s="55">
        <v>100.0</v>
      </c>
      <c r="AG46" s="55"/>
      <c r="AH46" s="95">
        <f t="shared" si="11"/>
        <v>1000</v>
      </c>
      <c r="AI46" s="87">
        <v>1000.0</v>
      </c>
      <c r="AJ46" s="88">
        <f t="shared" si="12"/>
        <v>0</v>
      </c>
      <c r="AK46" s="187"/>
      <c r="AL46" s="187"/>
      <c r="AM46" s="187"/>
      <c r="AN46" s="187"/>
      <c r="AO46" s="187">
        <v>0.0</v>
      </c>
      <c r="AP46" s="87">
        <v>1000.0</v>
      </c>
      <c r="AQ46" s="187">
        <v>0.0</v>
      </c>
      <c r="AR46" s="113">
        <v>3.5E8</v>
      </c>
      <c r="AS46" s="113">
        <v>3.19582577E8</v>
      </c>
      <c r="AT46" s="198">
        <f t="shared" si="13"/>
        <v>1</v>
      </c>
      <c r="AU46" s="198">
        <f t="shared" si="14"/>
        <v>0.9130930771</v>
      </c>
      <c r="AV46" s="140" t="s">
        <v>308</v>
      </c>
      <c r="AW46" s="74"/>
      <c r="AX46" s="214">
        <v>46156.0</v>
      </c>
      <c r="AY46" s="215" t="s">
        <v>273</v>
      </c>
      <c r="AZ46" s="210" t="s">
        <v>68</v>
      </c>
      <c r="BA46" s="210" t="s">
        <v>68</v>
      </c>
      <c r="BB46" s="219" t="s">
        <v>68</v>
      </c>
      <c r="BC46" s="77"/>
      <c r="BD46" s="210" t="s">
        <v>274</v>
      </c>
      <c r="BE46" s="220">
        <v>46234.0</v>
      </c>
      <c r="BF46" s="199"/>
      <c r="BG46" s="118"/>
      <c r="BH46" s="199"/>
    </row>
    <row r="47" ht="102.0" customHeight="1">
      <c r="A47" s="50">
        <v>46.0</v>
      </c>
      <c r="B47" s="51">
        <v>2024.0</v>
      </c>
      <c r="C47" s="184" t="s">
        <v>267</v>
      </c>
      <c r="D47" s="185" t="s">
        <v>74</v>
      </c>
      <c r="E47" s="186" t="s">
        <v>75</v>
      </c>
      <c r="F47" s="53" t="s">
        <v>309</v>
      </c>
      <c r="G47" s="184" t="s">
        <v>305</v>
      </c>
      <c r="H47" s="184" t="s">
        <v>305</v>
      </c>
      <c r="I47" s="184" t="s">
        <v>120</v>
      </c>
      <c r="J47" s="184" t="s">
        <v>310</v>
      </c>
      <c r="K47" s="184" t="s">
        <v>311</v>
      </c>
      <c r="L47" s="184">
        <v>5.0</v>
      </c>
      <c r="M47" s="100">
        <v>1000.0</v>
      </c>
      <c r="N47" s="187">
        <v>0.0</v>
      </c>
      <c r="O47" s="113">
        <v>3.49986389E8</v>
      </c>
      <c r="P47" s="113">
        <v>2.95663611E8</v>
      </c>
      <c r="Q47" s="188">
        <f t="shared" si="2"/>
        <v>645650000</v>
      </c>
      <c r="R47" s="189">
        <v>0.0</v>
      </c>
      <c r="S47" s="189">
        <v>0.0</v>
      </c>
      <c r="T47" s="190">
        <f t="shared" si="3"/>
        <v>645650000</v>
      </c>
      <c r="U47" s="221" t="s">
        <v>220</v>
      </c>
      <c r="V47" s="221" t="s">
        <v>220</v>
      </c>
      <c r="W47" s="192"/>
      <c r="X47" s="193">
        <v>45492.0</v>
      </c>
      <c r="Y47" s="193">
        <v>45656.0</v>
      </c>
      <c r="Z47" s="194">
        <v>0.0</v>
      </c>
      <c r="AA47" s="195">
        <v>0.0</v>
      </c>
      <c r="AB47" s="193">
        <v>45656.0</v>
      </c>
      <c r="AC47" s="66">
        <f t="shared" si="4"/>
        <v>-631</v>
      </c>
      <c r="AD47" s="55">
        <v>600.0</v>
      </c>
      <c r="AE47" s="55">
        <v>400.0</v>
      </c>
      <c r="AF47" s="55"/>
      <c r="AG47" s="55"/>
      <c r="AH47" s="95">
        <f t="shared" si="11"/>
        <v>1000</v>
      </c>
      <c r="AI47" s="87">
        <v>1000.0</v>
      </c>
      <c r="AJ47" s="88">
        <f t="shared" si="12"/>
        <v>0</v>
      </c>
      <c r="AK47" s="187"/>
      <c r="AL47" s="187"/>
      <c r="AM47" s="187"/>
      <c r="AN47" s="187"/>
      <c r="AO47" s="187">
        <v>0.0</v>
      </c>
      <c r="AP47" s="87">
        <v>1000.0</v>
      </c>
      <c r="AQ47" s="187">
        <v>0.0</v>
      </c>
      <c r="AR47" s="113">
        <v>3.49986389E8</v>
      </c>
      <c r="AS47" s="113">
        <v>3.34790487E8</v>
      </c>
      <c r="AT47" s="198">
        <f t="shared" si="13"/>
        <v>1</v>
      </c>
      <c r="AU47" s="198">
        <f t="shared" si="14"/>
        <v>0.9565814487</v>
      </c>
      <c r="AV47" s="184" t="s">
        <v>312</v>
      </c>
      <c r="AW47" s="74"/>
      <c r="AX47" s="214">
        <v>45950.0</v>
      </c>
      <c r="AY47" s="215" t="s">
        <v>273</v>
      </c>
      <c r="AZ47" s="210" t="s">
        <v>68</v>
      </c>
      <c r="BA47" s="210" t="s">
        <v>68</v>
      </c>
      <c r="BB47" s="219" t="s">
        <v>68</v>
      </c>
      <c r="BC47" s="209"/>
      <c r="BD47" s="210" t="s">
        <v>274</v>
      </c>
      <c r="BE47" s="220">
        <v>46234.0</v>
      </c>
      <c r="BF47" s="199"/>
      <c r="BG47" s="199"/>
      <c r="BH47" s="199"/>
    </row>
    <row r="48" ht="102.0" customHeight="1">
      <c r="A48" s="50">
        <v>47.0</v>
      </c>
      <c r="B48" s="51">
        <v>2024.0</v>
      </c>
      <c r="C48" s="184" t="s">
        <v>267</v>
      </c>
      <c r="D48" s="185" t="s">
        <v>74</v>
      </c>
      <c r="E48" s="186" t="s">
        <v>75</v>
      </c>
      <c r="F48" s="53" t="s">
        <v>313</v>
      </c>
      <c r="G48" s="184" t="s">
        <v>314</v>
      </c>
      <c r="H48" s="184" t="s">
        <v>314</v>
      </c>
      <c r="I48" s="184" t="s">
        <v>120</v>
      </c>
      <c r="J48" s="184" t="s">
        <v>315</v>
      </c>
      <c r="K48" s="184" t="s">
        <v>316</v>
      </c>
      <c r="L48" s="184">
        <v>8.0</v>
      </c>
      <c r="M48" s="100">
        <v>1000.0</v>
      </c>
      <c r="N48" s="187">
        <v>0.0</v>
      </c>
      <c r="O48" s="113">
        <v>3.5E8</v>
      </c>
      <c r="P48" s="113">
        <v>3.0805713075E8</v>
      </c>
      <c r="Q48" s="188">
        <f t="shared" si="2"/>
        <v>658057130.8</v>
      </c>
      <c r="R48" s="189">
        <v>0.0</v>
      </c>
      <c r="S48" s="189">
        <v>0.0</v>
      </c>
      <c r="T48" s="190">
        <f t="shared" si="3"/>
        <v>658057130.8</v>
      </c>
      <c r="U48" s="221" t="s">
        <v>220</v>
      </c>
      <c r="V48" s="221" t="s">
        <v>220</v>
      </c>
      <c r="W48" s="192"/>
      <c r="X48" s="193">
        <v>45691.0</v>
      </c>
      <c r="Y48" s="193">
        <v>45933.0</v>
      </c>
      <c r="Z48" s="194">
        <v>0.0</v>
      </c>
      <c r="AA48" s="195">
        <v>0.0</v>
      </c>
      <c r="AB48" s="193">
        <v>45933.0</v>
      </c>
      <c r="AC48" s="66">
        <f t="shared" si="4"/>
        <v>-354</v>
      </c>
      <c r="AD48" s="55"/>
      <c r="AE48" s="55">
        <v>1000.0</v>
      </c>
      <c r="AF48" s="55"/>
      <c r="AG48" s="55"/>
      <c r="AH48" s="95">
        <f t="shared" si="11"/>
        <v>1000</v>
      </c>
      <c r="AI48" s="87">
        <v>1000.0</v>
      </c>
      <c r="AJ48" s="88">
        <f t="shared" si="12"/>
        <v>0</v>
      </c>
      <c r="AK48" s="187"/>
      <c r="AL48" s="187"/>
      <c r="AM48" s="187"/>
      <c r="AN48" s="187"/>
      <c r="AO48" s="187">
        <v>0.0</v>
      </c>
      <c r="AP48" s="178">
        <v>1000.0</v>
      </c>
      <c r="AQ48" s="187">
        <v>0.0</v>
      </c>
      <c r="AR48" s="113">
        <v>3.5E8</v>
      </c>
      <c r="AS48" s="113">
        <v>3.09541408E8</v>
      </c>
      <c r="AT48" s="198">
        <f t="shared" si="13"/>
        <v>1</v>
      </c>
      <c r="AU48" s="198">
        <f t="shared" si="14"/>
        <v>0.8844040229</v>
      </c>
      <c r="AV48" s="179" t="s">
        <v>317</v>
      </c>
      <c r="AW48" s="74"/>
      <c r="AX48" s="214">
        <v>46125.0</v>
      </c>
      <c r="AY48" s="215" t="s">
        <v>273</v>
      </c>
      <c r="AZ48" s="210" t="s">
        <v>68</v>
      </c>
      <c r="BA48" s="210" t="s">
        <v>68</v>
      </c>
      <c r="BB48" s="219" t="s">
        <v>68</v>
      </c>
      <c r="BC48" s="77"/>
      <c r="BD48" s="210" t="s">
        <v>274</v>
      </c>
      <c r="BE48" s="218">
        <v>46234.0</v>
      </c>
      <c r="BF48" s="199"/>
      <c r="BG48" s="199"/>
      <c r="BH48" s="199"/>
    </row>
    <row r="49" ht="102.0" customHeight="1">
      <c r="A49" s="50">
        <v>48.0</v>
      </c>
      <c r="B49" s="51">
        <v>2024.0</v>
      </c>
      <c r="C49" s="184" t="s">
        <v>318</v>
      </c>
      <c r="D49" s="185" t="s">
        <v>74</v>
      </c>
      <c r="E49" s="186" t="s">
        <v>75</v>
      </c>
      <c r="F49" s="53" t="s">
        <v>319</v>
      </c>
      <c r="G49" s="184" t="s">
        <v>320</v>
      </c>
      <c r="H49" s="184" t="s">
        <v>320</v>
      </c>
      <c r="I49" s="184" t="s">
        <v>120</v>
      </c>
      <c r="J49" s="184" t="s">
        <v>321</v>
      </c>
      <c r="K49" s="184" t="s">
        <v>322</v>
      </c>
      <c r="L49" s="184">
        <v>8.0</v>
      </c>
      <c r="M49" s="100">
        <v>700.0</v>
      </c>
      <c r="N49" s="187">
        <v>0.0</v>
      </c>
      <c r="O49" s="113">
        <v>2.45E8</v>
      </c>
      <c r="P49" s="113">
        <v>1.01765501078E9</v>
      </c>
      <c r="Q49" s="188">
        <f t="shared" si="2"/>
        <v>1262655011</v>
      </c>
      <c r="R49" s="189">
        <v>0.0</v>
      </c>
      <c r="S49" s="189">
        <v>0.0</v>
      </c>
      <c r="T49" s="190">
        <f t="shared" si="3"/>
        <v>1262655011</v>
      </c>
      <c r="U49" s="191" t="s">
        <v>64</v>
      </c>
      <c r="V49" s="191" t="s">
        <v>64</v>
      </c>
      <c r="W49" s="192"/>
      <c r="X49" s="193">
        <v>45686.0</v>
      </c>
      <c r="Y49" s="193">
        <v>45929.0</v>
      </c>
      <c r="Z49" s="194">
        <v>0.0</v>
      </c>
      <c r="AA49" s="195">
        <v>0.0</v>
      </c>
      <c r="AB49" s="193">
        <v>45929.0</v>
      </c>
      <c r="AC49" s="66">
        <f t="shared" si="4"/>
        <v>-358</v>
      </c>
      <c r="AD49" s="55"/>
      <c r="AE49" s="196">
        <v>560.0</v>
      </c>
      <c r="AF49" s="196">
        <v>140.0</v>
      </c>
      <c r="AG49" s="196"/>
      <c r="AH49" s="95">
        <f t="shared" si="11"/>
        <v>700</v>
      </c>
      <c r="AI49" s="197">
        <v>700.0</v>
      </c>
      <c r="AJ49" s="88">
        <f t="shared" si="12"/>
        <v>0</v>
      </c>
      <c r="AK49" s="187"/>
      <c r="AL49" s="187"/>
      <c r="AM49" s="187"/>
      <c r="AN49" s="187"/>
      <c r="AO49" s="187">
        <v>0.0</v>
      </c>
      <c r="AP49" s="87">
        <v>700.0</v>
      </c>
      <c r="AQ49" s="187">
        <v>0.0</v>
      </c>
      <c r="AR49" s="113">
        <v>2.45E8</v>
      </c>
      <c r="AS49" s="113">
        <v>2.40267299E8</v>
      </c>
      <c r="AT49" s="198">
        <f t="shared" si="13"/>
        <v>1</v>
      </c>
      <c r="AU49" s="198">
        <f t="shared" si="14"/>
        <v>0.9806828531</v>
      </c>
      <c r="AV49" s="140" t="s">
        <v>323</v>
      </c>
      <c r="AW49" s="74"/>
      <c r="AX49" s="75"/>
      <c r="AY49" s="74"/>
      <c r="AZ49" s="76"/>
      <c r="BA49" s="76"/>
      <c r="BB49" s="76"/>
      <c r="BC49" s="77"/>
      <c r="BD49" s="76"/>
      <c r="BE49" s="74"/>
      <c r="BF49" s="199"/>
      <c r="BG49" s="118"/>
      <c r="BH49" s="199"/>
    </row>
    <row r="50" ht="102.0" customHeight="1">
      <c r="A50" s="50">
        <v>49.0</v>
      </c>
      <c r="B50" s="51">
        <v>2024.0</v>
      </c>
      <c r="C50" s="52" t="s">
        <v>318</v>
      </c>
      <c r="D50" s="52" t="s">
        <v>324</v>
      </c>
      <c r="E50" s="184" t="s">
        <v>59</v>
      </c>
      <c r="F50" s="53">
        <v>4.600017805E9</v>
      </c>
      <c r="G50" s="184" t="s">
        <v>320</v>
      </c>
      <c r="H50" s="184" t="s">
        <v>320</v>
      </c>
      <c r="I50" s="184" t="s">
        <v>120</v>
      </c>
      <c r="J50" s="184" t="s">
        <v>325</v>
      </c>
      <c r="K50" s="184" t="s">
        <v>326</v>
      </c>
      <c r="L50" s="184">
        <v>3.0</v>
      </c>
      <c r="M50" s="187">
        <v>0.0</v>
      </c>
      <c r="N50" s="201">
        <v>421.36</v>
      </c>
      <c r="O50" s="113">
        <v>1.44162156E8</v>
      </c>
      <c r="P50" s="113">
        <v>3.6040539E7</v>
      </c>
      <c r="Q50" s="188">
        <f t="shared" si="2"/>
        <v>180202695</v>
      </c>
      <c r="R50" s="189">
        <v>0.0</v>
      </c>
      <c r="S50" s="189">
        <v>0.0</v>
      </c>
      <c r="T50" s="190">
        <f t="shared" si="3"/>
        <v>180202695</v>
      </c>
      <c r="U50" s="221" t="s">
        <v>64</v>
      </c>
      <c r="V50" s="221" t="s">
        <v>64</v>
      </c>
      <c r="W50" s="192"/>
      <c r="X50" s="193">
        <v>45652.0</v>
      </c>
      <c r="Y50" s="193">
        <v>45742.0</v>
      </c>
      <c r="Z50" s="194">
        <v>3.0</v>
      </c>
      <c r="AA50" s="200">
        <v>0.0</v>
      </c>
      <c r="AB50" s="193">
        <v>45865.0</v>
      </c>
      <c r="AC50" s="66">
        <f t="shared" si="4"/>
        <v>-422</v>
      </c>
      <c r="AD50" s="55"/>
      <c r="AE50" s="55"/>
      <c r="AF50" s="55"/>
      <c r="AG50" s="55"/>
      <c r="AH50" s="86">
        <f t="shared" si="11"/>
        <v>0</v>
      </c>
      <c r="AI50" s="223">
        <v>0.0</v>
      </c>
      <c r="AJ50" s="201"/>
      <c r="AK50" s="201"/>
      <c r="AL50" s="201"/>
      <c r="AM50" s="201"/>
      <c r="AN50" s="201"/>
      <c r="AO50" s="201">
        <v>421.36</v>
      </c>
      <c r="AP50" s="178">
        <v>0.0</v>
      </c>
      <c r="AQ50" s="201">
        <v>421.36</v>
      </c>
      <c r="AR50" s="113">
        <v>1.44162156E8</v>
      </c>
      <c r="AS50" s="113">
        <v>1.44162156E8</v>
      </c>
      <c r="AT50" s="224">
        <f>N50/AQ50</f>
        <v>1</v>
      </c>
      <c r="AU50" s="224">
        <f t="shared" si="14"/>
        <v>1</v>
      </c>
      <c r="AV50" s="140" t="s">
        <v>327</v>
      </c>
      <c r="AW50" s="74"/>
      <c r="AX50" s="75"/>
      <c r="AY50" s="74"/>
      <c r="AZ50" s="76"/>
      <c r="BA50" s="76"/>
      <c r="BB50" s="76"/>
      <c r="BC50" s="77"/>
      <c r="BD50" s="76"/>
      <c r="BE50" s="76"/>
      <c r="BG50" s="199"/>
      <c r="BH50" s="199"/>
    </row>
    <row r="51" ht="102.0" customHeight="1">
      <c r="A51" s="21">
        <v>50.0</v>
      </c>
      <c r="B51" s="22">
        <v>2024.0</v>
      </c>
      <c r="C51" s="23" t="s">
        <v>328</v>
      </c>
      <c r="D51" s="24" t="s">
        <v>74</v>
      </c>
      <c r="E51" s="23" t="s">
        <v>75</v>
      </c>
      <c r="F51" s="25" t="s">
        <v>329</v>
      </c>
      <c r="G51" s="23" t="s">
        <v>330</v>
      </c>
      <c r="H51" s="23" t="s">
        <v>330</v>
      </c>
      <c r="I51" s="23" t="s">
        <v>104</v>
      </c>
      <c r="J51" s="23" t="s">
        <v>331</v>
      </c>
      <c r="K51" s="23" t="s">
        <v>332</v>
      </c>
      <c r="L51" s="160">
        <v>5.0</v>
      </c>
      <c r="M51" s="173">
        <v>1000.0</v>
      </c>
      <c r="N51" s="162"/>
      <c r="O51" s="82">
        <v>3.49478298E8</v>
      </c>
      <c r="P51" s="135">
        <v>5.9863427E8</v>
      </c>
      <c r="Q51" s="163">
        <f t="shared" si="2"/>
        <v>948112568</v>
      </c>
      <c r="R51" s="164">
        <v>0.0</v>
      </c>
      <c r="S51" s="164">
        <v>0.0</v>
      </c>
      <c r="T51" s="165">
        <f t="shared" si="3"/>
        <v>948112568</v>
      </c>
      <c r="U51" s="166" t="s">
        <v>64</v>
      </c>
      <c r="V51" s="166" t="s">
        <v>64</v>
      </c>
      <c r="W51" s="167"/>
      <c r="X51" s="168">
        <v>45497.0</v>
      </c>
      <c r="Y51" s="168">
        <v>45656.0</v>
      </c>
      <c r="Z51" s="177">
        <v>0.0</v>
      </c>
      <c r="AA51" s="170">
        <v>0.0</v>
      </c>
      <c r="AB51" s="168">
        <v>45656.0</v>
      </c>
      <c r="AC51" s="38">
        <f t="shared" si="4"/>
        <v>-631</v>
      </c>
      <c r="AD51" s="22">
        <v>600.0</v>
      </c>
      <c r="AE51" s="22">
        <v>400.0</v>
      </c>
      <c r="AF51" s="22"/>
      <c r="AG51" s="22"/>
      <c r="AH51" s="137">
        <f t="shared" si="11"/>
        <v>1000</v>
      </c>
      <c r="AI51" s="87">
        <v>1000.0</v>
      </c>
      <c r="AJ51" s="88">
        <f t="shared" ref="AJ51:AJ62" si="15">AH51-AI51</f>
        <v>0</v>
      </c>
      <c r="AK51" s="162"/>
      <c r="AL51" s="162"/>
      <c r="AM51" s="162"/>
      <c r="AN51" s="162"/>
      <c r="AO51" s="162">
        <v>0.0</v>
      </c>
      <c r="AP51" s="87">
        <v>1000.0</v>
      </c>
      <c r="AQ51" s="162">
        <v>0.0</v>
      </c>
      <c r="AR51" s="82">
        <v>3.49478298E8</v>
      </c>
      <c r="AS51" s="82">
        <v>3.49478298E8</v>
      </c>
      <c r="AT51" s="171">
        <f t="shared" ref="AT51:AT63" si="16">AP51/M51</f>
        <v>1</v>
      </c>
      <c r="AU51" s="171">
        <f t="shared" si="14"/>
        <v>1</v>
      </c>
      <c r="AV51" s="23" t="s">
        <v>333</v>
      </c>
      <c r="AW51" s="91"/>
      <c r="AX51" s="43"/>
      <c r="AY51" s="91"/>
      <c r="AZ51" s="92"/>
      <c r="BA51" s="92"/>
      <c r="BB51" s="92"/>
      <c r="BC51" s="102"/>
      <c r="BD51" s="92"/>
      <c r="BE51" s="98"/>
      <c r="BF51" s="48"/>
      <c r="BG51" s="99"/>
      <c r="BH51" s="99"/>
    </row>
    <row r="52" ht="102.0" customHeight="1">
      <c r="A52" s="21">
        <v>51.0</v>
      </c>
      <c r="B52" s="22">
        <v>2024.0</v>
      </c>
      <c r="C52" s="23" t="s">
        <v>328</v>
      </c>
      <c r="D52" s="80" t="s">
        <v>74</v>
      </c>
      <c r="E52" s="172" t="s">
        <v>75</v>
      </c>
      <c r="F52" s="25" t="s">
        <v>334</v>
      </c>
      <c r="G52" s="23" t="s">
        <v>335</v>
      </c>
      <c r="H52" s="23" t="s">
        <v>335</v>
      </c>
      <c r="I52" s="23" t="s">
        <v>104</v>
      </c>
      <c r="J52" s="23" t="s">
        <v>336</v>
      </c>
      <c r="K52" s="23" t="s">
        <v>337</v>
      </c>
      <c r="L52" s="23">
        <v>5.0</v>
      </c>
      <c r="M52" s="173">
        <v>1000.0</v>
      </c>
      <c r="N52" s="162">
        <v>0.0</v>
      </c>
      <c r="O52" s="82">
        <v>3.49987462E8</v>
      </c>
      <c r="P52" s="82">
        <v>5.52094027E8</v>
      </c>
      <c r="Q52" s="163">
        <f t="shared" si="2"/>
        <v>902081489</v>
      </c>
      <c r="R52" s="164">
        <v>0.0</v>
      </c>
      <c r="S52" s="164">
        <v>0.0</v>
      </c>
      <c r="T52" s="165">
        <f t="shared" si="3"/>
        <v>902081489</v>
      </c>
      <c r="U52" s="174" t="s">
        <v>64</v>
      </c>
      <c r="V52" s="174" t="s">
        <v>64</v>
      </c>
      <c r="W52" s="175"/>
      <c r="X52" s="176">
        <v>45497.0</v>
      </c>
      <c r="Y52" s="176">
        <v>45656.0</v>
      </c>
      <c r="Z52" s="177">
        <v>0.0</v>
      </c>
      <c r="AA52" s="170">
        <v>0.0</v>
      </c>
      <c r="AB52" s="176">
        <v>45656.0</v>
      </c>
      <c r="AC52" s="38">
        <f t="shared" si="4"/>
        <v>-631</v>
      </c>
      <c r="AD52" s="27">
        <v>450.0</v>
      </c>
      <c r="AE52" s="27">
        <v>550.0</v>
      </c>
      <c r="AF52" s="27"/>
      <c r="AG52" s="27"/>
      <c r="AH52" s="95">
        <f t="shared" si="11"/>
        <v>1000</v>
      </c>
      <c r="AI52" s="87">
        <v>1000.0</v>
      </c>
      <c r="AJ52" s="88">
        <f t="shared" si="15"/>
        <v>0</v>
      </c>
      <c r="AK52" s="162"/>
      <c r="AL52" s="162"/>
      <c r="AM52" s="162"/>
      <c r="AN52" s="162"/>
      <c r="AO52" s="162">
        <v>0.0</v>
      </c>
      <c r="AP52" s="87">
        <v>1000.0</v>
      </c>
      <c r="AQ52" s="162">
        <v>0.0</v>
      </c>
      <c r="AR52" s="82">
        <v>3.49987462E8</v>
      </c>
      <c r="AS52" s="82">
        <v>3.49987462E8</v>
      </c>
      <c r="AT52" s="171">
        <f t="shared" si="16"/>
        <v>1</v>
      </c>
      <c r="AU52" s="171">
        <f t="shared" si="14"/>
        <v>1</v>
      </c>
      <c r="AV52" s="23" t="s">
        <v>338</v>
      </c>
      <c r="AW52" s="91"/>
      <c r="AX52" s="43"/>
      <c r="AY52" s="91"/>
      <c r="AZ52" s="92"/>
      <c r="BA52" s="92"/>
      <c r="BB52" s="92"/>
      <c r="BC52" s="46"/>
      <c r="BD52" s="92"/>
      <c r="BE52" s="91"/>
      <c r="BF52" s="99"/>
      <c r="BG52" s="99"/>
      <c r="BH52" s="99"/>
    </row>
    <row r="53" ht="102.0" customHeight="1">
      <c r="A53" s="21">
        <v>52.0</v>
      </c>
      <c r="B53" s="22">
        <v>2024.0</v>
      </c>
      <c r="C53" s="23" t="s">
        <v>328</v>
      </c>
      <c r="D53" s="80" t="s">
        <v>74</v>
      </c>
      <c r="E53" s="172" t="s">
        <v>75</v>
      </c>
      <c r="F53" s="25" t="s">
        <v>339</v>
      </c>
      <c r="G53" s="23" t="s">
        <v>335</v>
      </c>
      <c r="H53" s="23" t="s">
        <v>335</v>
      </c>
      <c r="I53" s="23" t="s">
        <v>104</v>
      </c>
      <c r="J53" s="23" t="s">
        <v>336</v>
      </c>
      <c r="K53" s="23" t="s">
        <v>340</v>
      </c>
      <c r="L53" s="23">
        <v>7.0</v>
      </c>
      <c r="M53" s="173">
        <v>1000.0</v>
      </c>
      <c r="N53" s="162">
        <v>0.0</v>
      </c>
      <c r="O53" s="82">
        <v>3.5E8</v>
      </c>
      <c r="P53" s="82">
        <v>5.52094027E8</v>
      </c>
      <c r="Q53" s="163">
        <f t="shared" si="2"/>
        <v>902094027</v>
      </c>
      <c r="R53" s="164">
        <v>0.0</v>
      </c>
      <c r="S53" s="164">
        <v>0.0</v>
      </c>
      <c r="T53" s="165">
        <f t="shared" si="3"/>
        <v>902094027</v>
      </c>
      <c r="U53" s="174" t="s">
        <v>64</v>
      </c>
      <c r="V53" s="174" t="s">
        <v>64</v>
      </c>
      <c r="W53" s="175"/>
      <c r="X53" s="176">
        <v>45681.0</v>
      </c>
      <c r="Y53" s="176">
        <v>45893.0</v>
      </c>
      <c r="Z53" s="177">
        <v>3.0</v>
      </c>
      <c r="AA53" s="170">
        <v>0.0</v>
      </c>
      <c r="AB53" s="176">
        <v>45985.0</v>
      </c>
      <c r="AC53" s="38">
        <f t="shared" si="4"/>
        <v>-302</v>
      </c>
      <c r="AD53" s="27"/>
      <c r="AE53" s="27">
        <v>700.0</v>
      </c>
      <c r="AF53" s="27">
        <v>300.0</v>
      </c>
      <c r="AG53" s="27"/>
      <c r="AH53" s="95">
        <f t="shared" si="11"/>
        <v>1000</v>
      </c>
      <c r="AI53" s="87">
        <v>1000.0</v>
      </c>
      <c r="AJ53" s="88">
        <f t="shared" si="15"/>
        <v>0</v>
      </c>
      <c r="AK53" s="162"/>
      <c r="AL53" s="162"/>
      <c r="AM53" s="162"/>
      <c r="AN53" s="162"/>
      <c r="AO53" s="162">
        <v>0.0</v>
      </c>
      <c r="AP53" s="87">
        <v>1000.0</v>
      </c>
      <c r="AQ53" s="162">
        <v>0.0</v>
      </c>
      <c r="AR53" s="82">
        <v>3.5E8</v>
      </c>
      <c r="AS53" s="82">
        <v>3.22425688E8</v>
      </c>
      <c r="AT53" s="171">
        <f t="shared" si="16"/>
        <v>1</v>
      </c>
      <c r="AU53" s="171">
        <f t="shared" si="14"/>
        <v>0.9212162514</v>
      </c>
      <c r="AV53" s="225" t="s">
        <v>341</v>
      </c>
      <c r="AW53" s="91"/>
      <c r="AX53" s="43"/>
      <c r="AY53" s="91"/>
      <c r="AZ53" s="92"/>
      <c r="BA53" s="92"/>
      <c r="BB53" s="92"/>
      <c r="BC53" s="108"/>
      <c r="BD53" s="92"/>
      <c r="BE53" s="91"/>
      <c r="BF53" s="99"/>
      <c r="BG53" s="99"/>
      <c r="BH53" s="99"/>
    </row>
    <row r="54" ht="102.0" customHeight="1">
      <c r="A54" s="21">
        <v>53.0</v>
      </c>
      <c r="B54" s="22">
        <v>2024.0</v>
      </c>
      <c r="C54" s="23" t="s">
        <v>342</v>
      </c>
      <c r="D54" s="24" t="s">
        <v>74</v>
      </c>
      <c r="E54" s="23" t="s">
        <v>75</v>
      </c>
      <c r="F54" s="25" t="s">
        <v>343</v>
      </c>
      <c r="G54" s="23" t="s">
        <v>344</v>
      </c>
      <c r="H54" s="23" t="s">
        <v>344</v>
      </c>
      <c r="I54" s="23" t="s">
        <v>104</v>
      </c>
      <c r="J54" s="23" t="s">
        <v>345</v>
      </c>
      <c r="K54" s="23" t="s">
        <v>346</v>
      </c>
      <c r="L54" s="160">
        <v>7.0</v>
      </c>
      <c r="M54" s="161">
        <v>1000.0</v>
      </c>
      <c r="N54" s="162">
        <v>0.0</v>
      </c>
      <c r="O54" s="82">
        <v>3.49983373E8</v>
      </c>
      <c r="P54" s="135">
        <v>4.71746826E8</v>
      </c>
      <c r="Q54" s="163">
        <f t="shared" si="2"/>
        <v>821730199</v>
      </c>
      <c r="R54" s="164">
        <v>0.0</v>
      </c>
      <c r="S54" s="164">
        <v>0.0</v>
      </c>
      <c r="T54" s="165">
        <f t="shared" si="3"/>
        <v>821730199</v>
      </c>
      <c r="U54" s="166" t="s">
        <v>64</v>
      </c>
      <c r="V54" s="166" t="s">
        <v>64</v>
      </c>
      <c r="W54" s="167"/>
      <c r="X54" s="168">
        <v>45540.0</v>
      </c>
      <c r="Y54" s="168">
        <v>45656.0</v>
      </c>
      <c r="Z54" s="177">
        <v>0.0</v>
      </c>
      <c r="AA54" s="170">
        <v>0.0</v>
      </c>
      <c r="AB54" s="168">
        <v>45656.0</v>
      </c>
      <c r="AC54" s="38">
        <f t="shared" si="4"/>
        <v>-631</v>
      </c>
      <c r="AD54" s="22">
        <v>650.0</v>
      </c>
      <c r="AE54" s="22">
        <v>350.0</v>
      </c>
      <c r="AF54" s="22"/>
      <c r="AG54" s="22"/>
      <c r="AH54" s="137">
        <f t="shared" si="11"/>
        <v>1000</v>
      </c>
      <c r="AI54" s="87">
        <v>1000.0</v>
      </c>
      <c r="AJ54" s="88">
        <f t="shared" si="15"/>
        <v>0</v>
      </c>
      <c r="AK54" s="162"/>
      <c r="AL54" s="162"/>
      <c r="AM54" s="162"/>
      <c r="AN54" s="162"/>
      <c r="AO54" s="162">
        <v>0.0</v>
      </c>
      <c r="AP54" s="87">
        <v>1000.0</v>
      </c>
      <c r="AQ54" s="162">
        <v>0.0</v>
      </c>
      <c r="AR54" s="135">
        <v>3.49983373E8</v>
      </c>
      <c r="AS54" s="135">
        <v>3.49983373E8</v>
      </c>
      <c r="AT54" s="171">
        <f t="shared" si="16"/>
        <v>1</v>
      </c>
      <c r="AU54" s="171">
        <f t="shared" si="14"/>
        <v>1</v>
      </c>
      <c r="AV54" s="103" t="s">
        <v>347</v>
      </c>
      <c r="AW54" s="91"/>
      <c r="AX54" s="43"/>
      <c r="AY54" s="91"/>
      <c r="AZ54" s="92"/>
      <c r="BA54" s="92"/>
      <c r="BB54" s="92"/>
      <c r="BC54" s="46"/>
      <c r="BD54" s="92"/>
      <c r="BE54" s="98"/>
      <c r="BF54" s="48"/>
      <c r="BG54" s="99"/>
      <c r="BH54" s="99"/>
    </row>
    <row r="55" ht="102.0" customHeight="1">
      <c r="A55" s="21">
        <v>54.0</v>
      </c>
      <c r="B55" s="22">
        <v>2024.0</v>
      </c>
      <c r="C55" s="23" t="s">
        <v>342</v>
      </c>
      <c r="D55" s="80" t="s">
        <v>74</v>
      </c>
      <c r="E55" s="172" t="s">
        <v>75</v>
      </c>
      <c r="F55" s="25" t="s">
        <v>348</v>
      </c>
      <c r="G55" s="23" t="s">
        <v>349</v>
      </c>
      <c r="H55" s="23" t="s">
        <v>349</v>
      </c>
      <c r="I55" s="23" t="s">
        <v>85</v>
      </c>
      <c r="J55" s="23" t="s">
        <v>350</v>
      </c>
      <c r="K55" s="23" t="s">
        <v>351</v>
      </c>
      <c r="L55" s="23">
        <v>3.0</v>
      </c>
      <c r="M55" s="173">
        <v>1000.0</v>
      </c>
      <c r="N55" s="162">
        <v>0.0</v>
      </c>
      <c r="O55" s="82">
        <v>3.49958856E8</v>
      </c>
      <c r="P55" s="82">
        <v>5.8E8</v>
      </c>
      <c r="Q55" s="163">
        <f t="shared" si="2"/>
        <v>929958856</v>
      </c>
      <c r="R55" s="164">
        <v>0.0</v>
      </c>
      <c r="S55" s="164">
        <v>0.0</v>
      </c>
      <c r="T55" s="165">
        <f t="shared" si="3"/>
        <v>929958856</v>
      </c>
      <c r="U55" s="174" t="s">
        <v>64</v>
      </c>
      <c r="V55" s="174" t="s">
        <v>64</v>
      </c>
      <c r="W55" s="175"/>
      <c r="X55" s="176">
        <v>45555.0</v>
      </c>
      <c r="Y55" s="176">
        <v>45656.0</v>
      </c>
      <c r="Z55" s="177">
        <v>0.0</v>
      </c>
      <c r="AA55" s="170">
        <v>0.0</v>
      </c>
      <c r="AB55" s="176">
        <v>45656.0</v>
      </c>
      <c r="AC55" s="38">
        <f t="shared" si="4"/>
        <v>-631</v>
      </c>
      <c r="AD55" s="27"/>
      <c r="AE55" s="27">
        <v>330.0</v>
      </c>
      <c r="AF55" s="27"/>
      <c r="AG55" s="27"/>
      <c r="AH55" s="95">
        <f t="shared" si="11"/>
        <v>330</v>
      </c>
      <c r="AI55" s="173">
        <v>330.0</v>
      </c>
      <c r="AJ55" s="88">
        <f t="shared" si="15"/>
        <v>0</v>
      </c>
      <c r="AK55" s="162"/>
      <c r="AL55" s="162"/>
      <c r="AM55" s="162"/>
      <c r="AN55" s="162"/>
      <c r="AO55" s="162">
        <v>0.0</v>
      </c>
      <c r="AP55" s="178">
        <v>330.0</v>
      </c>
      <c r="AQ55" s="162">
        <v>0.0</v>
      </c>
      <c r="AR55" s="82">
        <v>3.49958856E8</v>
      </c>
      <c r="AS55" s="82">
        <v>1.15486422E8</v>
      </c>
      <c r="AT55" s="171">
        <f t="shared" si="16"/>
        <v>0.33</v>
      </c>
      <c r="AU55" s="171">
        <f t="shared" si="14"/>
        <v>0.3299999986</v>
      </c>
      <c r="AV55" s="23" t="s">
        <v>352</v>
      </c>
      <c r="AW55" s="91"/>
      <c r="AX55" s="43"/>
      <c r="AY55" s="91"/>
      <c r="AZ55" s="92"/>
      <c r="BA55" s="92"/>
      <c r="BB55" s="92"/>
      <c r="BC55" s="112"/>
      <c r="BD55" s="92"/>
      <c r="BE55" s="92"/>
      <c r="BF55" s="99"/>
      <c r="BG55" s="99"/>
      <c r="BH55" s="99"/>
    </row>
    <row r="56" ht="102.0" customHeight="1">
      <c r="A56" s="21">
        <v>55.0</v>
      </c>
      <c r="B56" s="22">
        <v>2024.0</v>
      </c>
      <c r="C56" s="23" t="s">
        <v>57</v>
      </c>
      <c r="D56" s="24" t="s">
        <v>74</v>
      </c>
      <c r="E56" s="23" t="s">
        <v>75</v>
      </c>
      <c r="F56" s="25" t="s">
        <v>353</v>
      </c>
      <c r="G56" s="23" t="s">
        <v>354</v>
      </c>
      <c r="H56" s="23" t="s">
        <v>354</v>
      </c>
      <c r="I56" s="23" t="s">
        <v>61</v>
      </c>
      <c r="J56" s="23" t="s">
        <v>355</v>
      </c>
      <c r="K56" s="23" t="s">
        <v>356</v>
      </c>
      <c r="L56" s="160">
        <v>7.0</v>
      </c>
      <c r="M56" s="173">
        <v>1000.0</v>
      </c>
      <c r="N56" s="162"/>
      <c r="O56" s="82">
        <v>3.5E8</v>
      </c>
      <c r="P56" s="135">
        <v>1.72E8</v>
      </c>
      <c r="Q56" s="163">
        <f t="shared" si="2"/>
        <v>522000000</v>
      </c>
      <c r="R56" s="164">
        <v>0.0</v>
      </c>
      <c r="S56" s="164">
        <v>0.0</v>
      </c>
      <c r="T56" s="165">
        <f t="shared" si="3"/>
        <v>522000000</v>
      </c>
      <c r="U56" s="166" t="s">
        <v>64</v>
      </c>
      <c r="V56" s="166" t="s">
        <v>64</v>
      </c>
      <c r="W56" s="167"/>
      <c r="X56" s="168">
        <v>45688.0</v>
      </c>
      <c r="Y56" s="168">
        <v>45900.0</v>
      </c>
      <c r="Z56" s="177">
        <v>4.0</v>
      </c>
      <c r="AA56" s="170">
        <v>0.0</v>
      </c>
      <c r="AB56" s="168">
        <v>46022.0</v>
      </c>
      <c r="AC56" s="38">
        <f t="shared" si="4"/>
        <v>-265</v>
      </c>
      <c r="AD56" s="22"/>
      <c r="AE56" s="22">
        <v>300.0</v>
      </c>
      <c r="AF56" s="22">
        <v>500.0</v>
      </c>
      <c r="AG56" s="22"/>
      <c r="AH56" s="69">
        <f t="shared" si="11"/>
        <v>800</v>
      </c>
      <c r="AI56" s="211">
        <v>800.0</v>
      </c>
      <c r="AJ56" s="70">
        <f t="shared" si="15"/>
        <v>0</v>
      </c>
      <c r="AK56" s="162"/>
      <c r="AL56" s="162"/>
      <c r="AM56" s="162"/>
      <c r="AN56" s="162"/>
      <c r="AO56" s="162">
        <v>0.0</v>
      </c>
      <c r="AP56" s="207">
        <v>800.0</v>
      </c>
      <c r="AQ56" s="162">
        <v>0.0</v>
      </c>
      <c r="AR56" s="135">
        <v>3.5E8</v>
      </c>
      <c r="AS56" s="135">
        <v>2.65165038E8</v>
      </c>
      <c r="AT56" s="171">
        <f t="shared" si="16"/>
        <v>0.8</v>
      </c>
      <c r="AU56" s="171">
        <f t="shared" si="14"/>
        <v>0.7576143943</v>
      </c>
      <c r="AV56" s="226" t="s">
        <v>357</v>
      </c>
      <c r="AW56" s="91"/>
      <c r="AX56" s="43"/>
      <c r="AY56" s="91"/>
      <c r="AZ56" s="92"/>
      <c r="BA56" s="92"/>
      <c r="BB56" s="92"/>
      <c r="BC56" s="108"/>
      <c r="BD56" s="92"/>
      <c r="BE56" s="91"/>
      <c r="BF56" s="48"/>
      <c r="BG56" s="99"/>
      <c r="BH56" s="99"/>
    </row>
    <row r="57" ht="102.0" customHeight="1">
      <c r="A57" s="21">
        <v>56.0</v>
      </c>
      <c r="B57" s="28">
        <v>2024.0</v>
      </c>
      <c r="C57" s="23" t="s">
        <v>358</v>
      </c>
      <c r="D57" s="80" t="s">
        <v>74</v>
      </c>
      <c r="E57" s="172" t="s">
        <v>75</v>
      </c>
      <c r="F57" s="25" t="s">
        <v>359</v>
      </c>
      <c r="G57" s="23" t="s">
        <v>360</v>
      </c>
      <c r="H57" s="23" t="s">
        <v>360</v>
      </c>
      <c r="I57" s="23" t="s">
        <v>61</v>
      </c>
      <c r="J57" s="23" t="s">
        <v>361</v>
      </c>
      <c r="K57" s="23" t="s">
        <v>362</v>
      </c>
      <c r="L57" s="23">
        <v>3.0</v>
      </c>
      <c r="M57" s="161">
        <v>1000.0</v>
      </c>
      <c r="N57" s="162">
        <v>0.0</v>
      </c>
      <c r="O57" s="82">
        <v>3.4541466E8</v>
      </c>
      <c r="P57" s="82">
        <v>2.87417939E8</v>
      </c>
      <c r="Q57" s="163">
        <f t="shared" si="2"/>
        <v>632832599</v>
      </c>
      <c r="R57" s="164">
        <v>0.0</v>
      </c>
      <c r="S57" s="164">
        <v>0.0</v>
      </c>
      <c r="T57" s="165">
        <f t="shared" si="3"/>
        <v>632832599</v>
      </c>
      <c r="U57" s="174" t="s">
        <v>64</v>
      </c>
      <c r="V57" s="83" t="s">
        <v>64</v>
      </c>
      <c r="W57" s="175"/>
      <c r="X57" s="176">
        <v>45539.0</v>
      </c>
      <c r="Y57" s="176">
        <v>45656.0</v>
      </c>
      <c r="Z57" s="177">
        <v>0.0</v>
      </c>
      <c r="AA57" s="170">
        <v>0.0</v>
      </c>
      <c r="AB57" s="176">
        <v>45656.0</v>
      </c>
      <c r="AC57" s="38">
        <f t="shared" si="4"/>
        <v>-631</v>
      </c>
      <c r="AD57" s="27">
        <v>250.0</v>
      </c>
      <c r="AE57" s="27">
        <v>750.0</v>
      </c>
      <c r="AF57" s="27"/>
      <c r="AG57" s="27"/>
      <c r="AH57" s="95">
        <f t="shared" si="11"/>
        <v>1000</v>
      </c>
      <c r="AI57" s="87">
        <v>1000.0</v>
      </c>
      <c r="AJ57" s="88">
        <f t="shared" si="15"/>
        <v>0</v>
      </c>
      <c r="AK57" s="162"/>
      <c r="AL57" s="162"/>
      <c r="AM57" s="162"/>
      <c r="AN57" s="162"/>
      <c r="AO57" s="162">
        <v>0.0</v>
      </c>
      <c r="AP57" s="87">
        <v>1000.0</v>
      </c>
      <c r="AQ57" s="162">
        <v>0.0</v>
      </c>
      <c r="AR57" s="82">
        <v>3.4541466E8</v>
      </c>
      <c r="AS57" s="82">
        <v>3.4541466E8</v>
      </c>
      <c r="AT57" s="171">
        <f t="shared" si="16"/>
        <v>1</v>
      </c>
      <c r="AU57" s="171">
        <f t="shared" si="14"/>
        <v>1</v>
      </c>
      <c r="AV57" s="24" t="s">
        <v>363</v>
      </c>
      <c r="AW57" s="91"/>
      <c r="AX57" s="43"/>
      <c r="AY57" s="91"/>
      <c r="AZ57" s="92"/>
      <c r="BA57" s="92"/>
      <c r="BB57" s="92"/>
      <c r="BC57" s="46"/>
      <c r="BD57" s="92"/>
      <c r="BE57" s="47"/>
      <c r="BF57" s="99"/>
      <c r="BG57" s="99"/>
      <c r="BH57" s="99"/>
    </row>
    <row r="58" ht="102.0" customHeight="1">
      <c r="A58" s="21">
        <v>57.0</v>
      </c>
      <c r="B58" s="22">
        <v>2024.0</v>
      </c>
      <c r="C58" s="23" t="s">
        <v>57</v>
      </c>
      <c r="D58" s="80" t="s">
        <v>74</v>
      </c>
      <c r="E58" s="172" t="s">
        <v>75</v>
      </c>
      <c r="F58" s="25" t="s">
        <v>364</v>
      </c>
      <c r="G58" s="23" t="s">
        <v>60</v>
      </c>
      <c r="H58" s="23" t="s">
        <v>60</v>
      </c>
      <c r="I58" s="23" t="s">
        <v>61</v>
      </c>
      <c r="J58" s="23" t="s">
        <v>365</v>
      </c>
      <c r="K58" s="23" t="s">
        <v>366</v>
      </c>
      <c r="L58" s="23">
        <v>4.0</v>
      </c>
      <c r="M58" s="173">
        <v>500.0</v>
      </c>
      <c r="N58" s="162">
        <v>0.0</v>
      </c>
      <c r="O58" s="82">
        <v>1.74988881E8</v>
      </c>
      <c r="P58" s="82">
        <v>4.2763053E8</v>
      </c>
      <c r="Q58" s="163">
        <f t="shared" si="2"/>
        <v>602619411</v>
      </c>
      <c r="R58" s="164">
        <v>0.0</v>
      </c>
      <c r="S58" s="164">
        <v>0.0</v>
      </c>
      <c r="T58" s="165">
        <f t="shared" si="3"/>
        <v>602619411</v>
      </c>
      <c r="U58" s="174" t="s">
        <v>64</v>
      </c>
      <c r="V58" s="174" t="s">
        <v>64</v>
      </c>
      <c r="W58" s="175"/>
      <c r="X58" s="176">
        <v>45524.0</v>
      </c>
      <c r="Y58" s="176">
        <v>45656.0</v>
      </c>
      <c r="Z58" s="177">
        <v>0.0</v>
      </c>
      <c r="AA58" s="170">
        <v>0.0</v>
      </c>
      <c r="AB58" s="176">
        <v>45914.0</v>
      </c>
      <c r="AC58" s="38">
        <f t="shared" si="4"/>
        <v>-373</v>
      </c>
      <c r="AD58" s="81">
        <v>75.0</v>
      </c>
      <c r="AE58" s="81">
        <v>400.0</v>
      </c>
      <c r="AF58" s="81">
        <v>25.0</v>
      </c>
      <c r="AG58" s="81"/>
      <c r="AH58" s="95">
        <f t="shared" si="11"/>
        <v>500</v>
      </c>
      <c r="AI58" s="197">
        <v>500.0</v>
      </c>
      <c r="AJ58" s="88">
        <f t="shared" si="15"/>
        <v>0</v>
      </c>
      <c r="AK58" s="162"/>
      <c r="AL58" s="162"/>
      <c r="AM58" s="162"/>
      <c r="AN58" s="162"/>
      <c r="AO58" s="162">
        <v>0.0</v>
      </c>
      <c r="AP58" s="87">
        <v>500.0</v>
      </c>
      <c r="AQ58" s="162">
        <v>0.0</v>
      </c>
      <c r="AR58" s="82">
        <v>1.74988881E8</v>
      </c>
      <c r="AS58" s="82">
        <v>1.74988881E8</v>
      </c>
      <c r="AT58" s="171">
        <f t="shared" si="16"/>
        <v>1</v>
      </c>
      <c r="AU58" s="171">
        <f t="shared" si="14"/>
        <v>1</v>
      </c>
      <c r="AV58" s="24" t="s">
        <v>367</v>
      </c>
      <c r="AW58" s="91"/>
      <c r="AX58" s="43"/>
      <c r="AY58" s="91"/>
      <c r="AZ58" s="92"/>
      <c r="BA58" s="92"/>
      <c r="BB58" s="92"/>
      <c r="BC58" s="108"/>
      <c r="BD58" s="92"/>
      <c r="BE58" s="92"/>
      <c r="BF58" s="99"/>
      <c r="BG58" s="99"/>
      <c r="BH58" s="99"/>
    </row>
    <row r="59" ht="102.0" customHeight="1">
      <c r="A59" s="21">
        <v>58.0</v>
      </c>
      <c r="B59" s="22">
        <v>2024.0</v>
      </c>
      <c r="C59" s="23" t="s">
        <v>57</v>
      </c>
      <c r="D59" s="80" t="s">
        <v>74</v>
      </c>
      <c r="E59" s="172" t="s">
        <v>75</v>
      </c>
      <c r="F59" s="25" t="s">
        <v>368</v>
      </c>
      <c r="G59" s="23" t="s">
        <v>369</v>
      </c>
      <c r="H59" s="23" t="s">
        <v>369</v>
      </c>
      <c r="I59" s="23" t="s">
        <v>61</v>
      </c>
      <c r="J59" s="23" t="s">
        <v>370</v>
      </c>
      <c r="K59" s="23" t="s">
        <v>371</v>
      </c>
      <c r="L59" s="23">
        <v>7.0</v>
      </c>
      <c r="M59" s="173">
        <v>1000.0</v>
      </c>
      <c r="N59" s="162">
        <v>0.0</v>
      </c>
      <c r="O59" s="82">
        <v>3.5E8</v>
      </c>
      <c r="P59" s="82">
        <v>1.750015868E9</v>
      </c>
      <c r="Q59" s="163">
        <f t="shared" si="2"/>
        <v>2100015868</v>
      </c>
      <c r="R59" s="164">
        <v>0.0</v>
      </c>
      <c r="S59" s="164">
        <v>0.0</v>
      </c>
      <c r="T59" s="165">
        <f t="shared" si="3"/>
        <v>2100015868</v>
      </c>
      <c r="U59" s="174" t="s">
        <v>64</v>
      </c>
      <c r="V59" s="174" t="s">
        <v>64</v>
      </c>
      <c r="W59" s="175"/>
      <c r="X59" s="176">
        <v>45693.0</v>
      </c>
      <c r="Y59" s="176">
        <v>45905.0</v>
      </c>
      <c r="Z59" s="177">
        <v>1.0</v>
      </c>
      <c r="AA59" s="170">
        <v>0.0</v>
      </c>
      <c r="AB59" s="176">
        <v>45939.0</v>
      </c>
      <c r="AC59" s="38">
        <f t="shared" si="4"/>
        <v>-348</v>
      </c>
      <c r="AD59" s="27"/>
      <c r="AE59" s="55">
        <v>1000.0</v>
      </c>
      <c r="AF59" s="27"/>
      <c r="AG59" s="27"/>
      <c r="AH59" s="95">
        <f t="shared" si="11"/>
        <v>1000</v>
      </c>
      <c r="AI59" s="87">
        <v>1000.0</v>
      </c>
      <c r="AJ59" s="88">
        <f t="shared" si="15"/>
        <v>0</v>
      </c>
      <c r="AK59" s="162"/>
      <c r="AL59" s="162"/>
      <c r="AM59" s="162"/>
      <c r="AN59" s="162"/>
      <c r="AO59" s="162">
        <v>0.0</v>
      </c>
      <c r="AP59" s="178">
        <v>1000.0</v>
      </c>
      <c r="AQ59" s="162">
        <v>0.0</v>
      </c>
      <c r="AR59" s="82">
        <v>3.5E8</v>
      </c>
      <c r="AS59" s="82">
        <v>2.23101532E8</v>
      </c>
      <c r="AT59" s="171">
        <f t="shared" si="16"/>
        <v>1</v>
      </c>
      <c r="AU59" s="171">
        <f t="shared" si="14"/>
        <v>0.6374329486</v>
      </c>
      <c r="AV59" s="24" t="s">
        <v>372</v>
      </c>
      <c r="AW59" s="91"/>
      <c r="AX59" s="43"/>
      <c r="AY59" s="91"/>
      <c r="AZ59" s="92"/>
      <c r="BA59" s="92"/>
      <c r="BB59" s="92"/>
      <c r="BC59" s="112"/>
      <c r="BD59" s="92"/>
      <c r="BE59" s="92"/>
      <c r="BF59" s="99"/>
      <c r="BG59" s="99"/>
      <c r="BH59" s="99"/>
    </row>
    <row r="60" ht="102.0" customHeight="1">
      <c r="A60" s="21">
        <v>59.0</v>
      </c>
      <c r="B60" s="22">
        <v>2024.0</v>
      </c>
      <c r="C60" s="23" t="s">
        <v>358</v>
      </c>
      <c r="D60" s="80" t="s">
        <v>74</v>
      </c>
      <c r="E60" s="172" t="s">
        <v>75</v>
      </c>
      <c r="F60" s="25" t="s">
        <v>373</v>
      </c>
      <c r="G60" s="23" t="s">
        <v>374</v>
      </c>
      <c r="H60" s="23" t="s">
        <v>374</v>
      </c>
      <c r="I60" s="23" t="s">
        <v>61</v>
      </c>
      <c r="J60" s="23" t="s">
        <v>375</v>
      </c>
      <c r="K60" s="23" t="s">
        <v>376</v>
      </c>
      <c r="L60" s="23">
        <v>5.0</v>
      </c>
      <c r="M60" s="173">
        <v>1000.0</v>
      </c>
      <c r="N60" s="162">
        <v>0.0</v>
      </c>
      <c r="O60" s="82">
        <v>3.40305002E8</v>
      </c>
      <c r="P60" s="82">
        <v>8.9705263E8</v>
      </c>
      <c r="Q60" s="163">
        <f t="shared" si="2"/>
        <v>1237357632</v>
      </c>
      <c r="R60" s="164">
        <v>0.0</v>
      </c>
      <c r="S60" s="164">
        <v>0.0</v>
      </c>
      <c r="T60" s="165">
        <f t="shared" si="3"/>
        <v>1237357632</v>
      </c>
      <c r="U60" s="174" t="s">
        <v>64</v>
      </c>
      <c r="V60" s="174" t="s">
        <v>64</v>
      </c>
      <c r="W60" s="175"/>
      <c r="X60" s="176">
        <v>45497.0</v>
      </c>
      <c r="Y60" s="176">
        <v>45656.0</v>
      </c>
      <c r="Z60" s="177">
        <v>0.0</v>
      </c>
      <c r="AA60" s="170">
        <v>0.0</v>
      </c>
      <c r="AB60" s="176">
        <v>45656.0</v>
      </c>
      <c r="AC60" s="38">
        <f t="shared" si="4"/>
        <v>-631</v>
      </c>
      <c r="AD60" s="27">
        <v>250.0</v>
      </c>
      <c r="AE60" s="27">
        <v>750.0</v>
      </c>
      <c r="AF60" s="27"/>
      <c r="AG60" s="27"/>
      <c r="AH60" s="95">
        <f t="shared" si="11"/>
        <v>1000</v>
      </c>
      <c r="AI60" s="87">
        <v>1000.0</v>
      </c>
      <c r="AJ60" s="88">
        <f t="shared" si="15"/>
        <v>0</v>
      </c>
      <c r="AK60" s="162"/>
      <c r="AL60" s="162"/>
      <c r="AM60" s="162"/>
      <c r="AN60" s="162"/>
      <c r="AO60" s="162">
        <v>0.0</v>
      </c>
      <c r="AP60" s="87">
        <v>1000.0</v>
      </c>
      <c r="AQ60" s="162">
        <v>0.0</v>
      </c>
      <c r="AR60" s="82">
        <v>3.40305002E8</v>
      </c>
      <c r="AS60" s="82">
        <v>3.40305002E8</v>
      </c>
      <c r="AT60" s="171">
        <f t="shared" si="16"/>
        <v>1</v>
      </c>
      <c r="AU60" s="171">
        <f t="shared" si="14"/>
        <v>1</v>
      </c>
      <c r="AV60" s="24" t="s">
        <v>377</v>
      </c>
      <c r="AW60" s="91"/>
      <c r="AX60" s="43"/>
      <c r="AY60" s="91"/>
      <c r="AZ60" s="92"/>
      <c r="BA60" s="92"/>
      <c r="BB60" s="92"/>
      <c r="BC60" s="46"/>
      <c r="BD60" s="92"/>
      <c r="BE60" s="91"/>
      <c r="BF60" s="99"/>
      <c r="BG60" s="103"/>
      <c r="BH60" s="99"/>
    </row>
    <row r="61" ht="102.0" customHeight="1">
      <c r="A61" s="21">
        <v>60.0</v>
      </c>
      <c r="B61" s="22">
        <v>2024.0</v>
      </c>
      <c r="C61" s="23" t="s">
        <v>358</v>
      </c>
      <c r="D61" s="80" t="s">
        <v>74</v>
      </c>
      <c r="E61" s="172" t="s">
        <v>75</v>
      </c>
      <c r="F61" s="25" t="s">
        <v>378</v>
      </c>
      <c r="G61" s="23" t="s">
        <v>374</v>
      </c>
      <c r="H61" s="23" t="s">
        <v>374</v>
      </c>
      <c r="I61" s="23" t="s">
        <v>61</v>
      </c>
      <c r="J61" s="23" t="s">
        <v>375</v>
      </c>
      <c r="K61" s="23" t="s">
        <v>379</v>
      </c>
      <c r="L61" s="23">
        <v>6.0</v>
      </c>
      <c r="M61" s="173">
        <v>1000.0</v>
      </c>
      <c r="N61" s="162">
        <v>0.0</v>
      </c>
      <c r="O61" s="82">
        <v>3.5E8</v>
      </c>
      <c r="P61" s="82">
        <v>1.199997999E9</v>
      </c>
      <c r="Q61" s="163">
        <f t="shared" si="2"/>
        <v>1549997999</v>
      </c>
      <c r="R61" s="164">
        <v>0.0</v>
      </c>
      <c r="S61" s="164">
        <v>0.0</v>
      </c>
      <c r="T61" s="165">
        <f t="shared" si="3"/>
        <v>1549997999</v>
      </c>
      <c r="U61" s="174" t="s">
        <v>64</v>
      </c>
      <c r="V61" s="174" t="s">
        <v>64</v>
      </c>
      <c r="W61" s="175"/>
      <c r="X61" s="176">
        <v>45679.0</v>
      </c>
      <c r="Y61" s="176">
        <v>45860.0</v>
      </c>
      <c r="Z61" s="177">
        <v>0.0</v>
      </c>
      <c r="AA61" s="170">
        <v>0.0</v>
      </c>
      <c r="AB61" s="176">
        <v>45860.0</v>
      </c>
      <c r="AC61" s="38">
        <f t="shared" si="4"/>
        <v>-427</v>
      </c>
      <c r="AD61" s="27"/>
      <c r="AE61" s="27">
        <v>900.0</v>
      </c>
      <c r="AF61" s="81">
        <v>23.0</v>
      </c>
      <c r="AG61" s="81"/>
      <c r="AH61" s="95">
        <f t="shared" si="11"/>
        <v>923</v>
      </c>
      <c r="AI61" s="227">
        <v>923.0</v>
      </c>
      <c r="AJ61" s="88">
        <f t="shared" si="15"/>
        <v>0</v>
      </c>
      <c r="AK61" s="162"/>
      <c r="AL61" s="162"/>
      <c r="AM61" s="162"/>
      <c r="AN61" s="162"/>
      <c r="AO61" s="162">
        <v>0.0</v>
      </c>
      <c r="AP61" s="178">
        <v>923.0</v>
      </c>
      <c r="AQ61" s="162">
        <v>0.0</v>
      </c>
      <c r="AR61" s="82">
        <v>3.5E8</v>
      </c>
      <c r="AS61" s="82">
        <v>3.22965481E8</v>
      </c>
      <c r="AT61" s="171">
        <f t="shared" si="16"/>
        <v>0.923</v>
      </c>
      <c r="AU61" s="171">
        <f t="shared" si="14"/>
        <v>0.9227585171</v>
      </c>
      <c r="AV61" s="23" t="s">
        <v>380</v>
      </c>
      <c r="AW61" s="91"/>
      <c r="AX61" s="43"/>
      <c r="AY61" s="91"/>
      <c r="AZ61" s="92"/>
      <c r="BA61" s="92"/>
      <c r="BB61" s="92"/>
      <c r="BC61" s="108"/>
      <c r="BD61" s="92"/>
      <c r="BE61" s="91"/>
      <c r="BF61" s="99"/>
      <c r="BG61" s="99"/>
      <c r="BH61" s="99"/>
    </row>
    <row r="62" ht="102.0" customHeight="1">
      <c r="A62" s="21">
        <v>61.0</v>
      </c>
      <c r="B62" s="22">
        <v>2024.0</v>
      </c>
      <c r="C62" s="23" t="s">
        <v>57</v>
      </c>
      <c r="D62" s="80" t="s">
        <v>74</v>
      </c>
      <c r="E62" s="172" t="s">
        <v>75</v>
      </c>
      <c r="F62" s="25" t="s">
        <v>381</v>
      </c>
      <c r="G62" s="23" t="s">
        <v>69</v>
      </c>
      <c r="H62" s="23" t="s">
        <v>69</v>
      </c>
      <c r="I62" s="23" t="s">
        <v>61</v>
      </c>
      <c r="J62" s="23" t="s">
        <v>382</v>
      </c>
      <c r="K62" s="23" t="s">
        <v>383</v>
      </c>
      <c r="L62" s="23">
        <v>3.0</v>
      </c>
      <c r="M62" s="173">
        <v>140.0</v>
      </c>
      <c r="N62" s="162">
        <v>0.0</v>
      </c>
      <c r="O62" s="82">
        <v>1.0E8</v>
      </c>
      <c r="P62" s="82">
        <v>3.0E8</v>
      </c>
      <c r="Q62" s="163">
        <f t="shared" si="2"/>
        <v>400000000</v>
      </c>
      <c r="R62" s="164">
        <v>0.0</v>
      </c>
      <c r="S62" s="164">
        <v>0.0</v>
      </c>
      <c r="T62" s="165">
        <f t="shared" si="3"/>
        <v>400000000</v>
      </c>
      <c r="U62" s="174" t="s">
        <v>64</v>
      </c>
      <c r="V62" s="174" t="s">
        <v>64</v>
      </c>
      <c r="W62" s="175"/>
      <c r="X62" s="176">
        <v>45685.0</v>
      </c>
      <c r="Y62" s="176">
        <v>45775.0</v>
      </c>
      <c r="Z62" s="177">
        <v>0.0</v>
      </c>
      <c r="AA62" s="170">
        <v>0.0</v>
      </c>
      <c r="AB62" s="176">
        <v>45775.0</v>
      </c>
      <c r="AC62" s="38">
        <f t="shared" si="4"/>
        <v>-512</v>
      </c>
      <c r="AD62" s="27"/>
      <c r="AE62" s="27">
        <v>140.0</v>
      </c>
      <c r="AF62" s="27"/>
      <c r="AG62" s="27"/>
      <c r="AH62" s="95">
        <f t="shared" si="11"/>
        <v>140</v>
      </c>
      <c r="AI62" s="178">
        <v>140.0</v>
      </c>
      <c r="AJ62" s="88">
        <f t="shared" si="15"/>
        <v>0</v>
      </c>
      <c r="AK62" s="162"/>
      <c r="AL62" s="162"/>
      <c r="AM62" s="162"/>
      <c r="AN62" s="162"/>
      <c r="AO62" s="162">
        <v>0.0</v>
      </c>
      <c r="AP62" s="178">
        <v>140.0</v>
      </c>
      <c r="AQ62" s="162">
        <v>0.0</v>
      </c>
      <c r="AR62" s="82">
        <v>1.0E8</v>
      </c>
      <c r="AS62" s="82">
        <v>7.6816823E7</v>
      </c>
      <c r="AT62" s="171">
        <f t="shared" si="16"/>
        <v>1</v>
      </c>
      <c r="AU62" s="171">
        <f t="shared" si="14"/>
        <v>0.76816823</v>
      </c>
      <c r="AV62" s="179" t="s">
        <v>384</v>
      </c>
      <c r="AW62" s="91"/>
      <c r="AX62" s="43"/>
      <c r="AY62" s="91"/>
      <c r="AZ62" s="92"/>
      <c r="BA62" s="92"/>
      <c r="BB62" s="92"/>
      <c r="BC62" s="46"/>
      <c r="BD62" s="92"/>
      <c r="BE62" s="92"/>
      <c r="BF62" s="99"/>
      <c r="BG62" s="99"/>
      <c r="BH62" s="99"/>
    </row>
    <row r="63" ht="140.25" customHeight="1">
      <c r="A63" s="21">
        <v>62.0</v>
      </c>
      <c r="B63" s="22">
        <v>2024.0</v>
      </c>
      <c r="C63" s="23" t="s">
        <v>57</v>
      </c>
      <c r="D63" s="24" t="s">
        <v>118</v>
      </c>
      <c r="E63" s="172" t="s">
        <v>59</v>
      </c>
      <c r="F63" s="25">
        <v>4.600017803E9</v>
      </c>
      <c r="G63" s="23" t="s">
        <v>69</v>
      </c>
      <c r="H63" s="23" t="s">
        <v>69</v>
      </c>
      <c r="I63" s="23" t="s">
        <v>61</v>
      </c>
      <c r="J63" s="23" t="s">
        <v>385</v>
      </c>
      <c r="K63" s="23" t="s">
        <v>386</v>
      </c>
      <c r="L63" s="23">
        <v>9.0</v>
      </c>
      <c r="M63" s="173">
        <v>1000.0</v>
      </c>
      <c r="N63" s="162">
        <v>0.0</v>
      </c>
      <c r="O63" s="82">
        <v>3.09278056E9</v>
      </c>
      <c r="P63" s="82">
        <v>4.0E7</v>
      </c>
      <c r="Q63" s="163">
        <f t="shared" si="2"/>
        <v>3132780560</v>
      </c>
      <c r="R63" s="164">
        <v>0.0</v>
      </c>
      <c r="S63" s="164">
        <v>0.0</v>
      </c>
      <c r="T63" s="165">
        <f t="shared" si="3"/>
        <v>3132780560</v>
      </c>
      <c r="U63" s="83" t="s">
        <v>387</v>
      </c>
      <c r="V63" s="83" t="s">
        <v>387</v>
      </c>
      <c r="W63" s="175"/>
      <c r="X63" s="176">
        <v>45653.0</v>
      </c>
      <c r="Y63" s="176">
        <v>45896.0</v>
      </c>
      <c r="Z63" s="177">
        <v>0.0</v>
      </c>
      <c r="AA63" s="160">
        <v>6.0</v>
      </c>
      <c r="AB63" s="176">
        <v>46231.0</v>
      </c>
      <c r="AC63" s="38">
        <f t="shared" si="4"/>
        <v>-56</v>
      </c>
      <c r="AD63" s="27"/>
      <c r="AE63" s="27"/>
      <c r="AF63" s="27"/>
      <c r="AG63" s="27"/>
      <c r="AH63" s="86">
        <f t="shared" si="11"/>
        <v>0</v>
      </c>
      <c r="AI63" s="173">
        <v>690.0</v>
      </c>
      <c r="AJ63" s="162"/>
      <c r="AK63" s="162"/>
      <c r="AL63" s="162"/>
      <c r="AM63" s="162"/>
      <c r="AN63" s="162"/>
      <c r="AO63" s="162">
        <v>0.0</v>
      </c>
      <c r="AP63" s="178">
        <v>690.0</v>
      </c>
      <c r="AQ63" s="162">
        <v>0.0</v>
      </c>
      <c r="AR63" s="82">
        <v>3.09278056E9</v>
      </c>
      <c r="AS63" s="82">
        <v>3.09278056E9</v>
      </c>
      <c r="AT63" s="228">
        <f t="shared" si="16"/>
        <v>0.69</v>
      </c>
      <c r="AU63" s="228">
        <f t="shared" si="14"/>
        <v>1</v>
      </c>
      <c r="AV63" s="184" t="s">
        <v>388</v>
      </c>
      <c r="AW63" s="91"/>
      <c r="AX63" s="43"/>
      <c r="AY63" s="91"/>
      <c r="AZ63" s="92"/>
      <c r="BA63" s="92"/>
      <c r="BB63" s="92"/>
      <c r="BC63" s="102"/>
      <c r="BD63" s="92"/>
      <c r="BE63" s="98"/>
      <c r="BF63" s="93"/>
      <c r="BG63" s="93"/>
      <c r="BH63" s="93"/>
    </row>
    <row r="64" ht="189.0" customHeight="1">
      <c r="A64" s="21">
        <v>63.0</v>
      </c>
      <c r="B64" s="22">
        <v>2024.0</v>
      </c>
      <c r="C64" s="23" t="s">
        <v>389</v>
      </c>
      <c r="D64" s="24" t="s">
        <v>74</v>
      </c>
      <c r="E64" s="23" t="s">
        <v>75</v>
      </c>
      <c r="F64" s="25" t="s">
        <v>390</v>
      </c>
      <c r="G64" s="23" t="s">
        <v>391</v>
      </c>
      <c r="H64" s="23" t="s">
        <v>391</v>
      </c>
      <c r="I64" s="23" t="s">
        <v>78</v>
      </c>
      <c r="J64" s="23" t="s">
        <v>392</v>
      </c>
      <c r="K64" s="23" t="s">
        <v>393</v>
      </c>
      <c r="L64" s="160">
        <v>7.0</v>
      </c>
      <c r="M64" s="161">
        <v>1000.0</v>
      </c>
      <c r="N64" s="162">
        <v>0.0</v>
      </c>
      <c r="O64" s="82">
        <v>3.5E8</v>
      </c>
      <c r="P64" s="135">
        <v>4.87439836E8</v>
      </c>
      <c r="Q64" s="163">
        <f t="shared" si="2"/>
        <v>837439836</v>
      </c>
      <c r="R64" s="164">
        <v>0.0</v>
      </c>
      <c r="S64" s="164">
        <v>0.0</v>
      </c>
      <c r="T64" s="165">
        <f t="shared" si="3"/>
        <v>837439836</v>
      </c>
      <c r="U64" s="166" t="s">
        <v>64</v>
      </c>
      <c r="V64" s="166" t="s">
        <v>64</v>
      </c>
      <c r="W64" s="167"/>
      <c r="X64" s="168">
        <v>45678.0</v>
      </c>
      <c r="Y64" s="168">
        <v>45859.0</v>
      </c>
      <c r="Z64" s="177">
        <v>5.0</v>
      </c>
      <c r="AA64" s="170">
        <v>0.0</v>
      </c>
      <c r="AB64" s="168">
        <v>46012.0</v>
      </c>
      <c r="AC64" s="38">
        <f t="shared" si="4"/>
        <v>-275</v>
      </c>
      <c r="AD64" s="22"/>
      <c r="AE64" s="22">
        <v>627.0</v>
      </c>
      <c r="AF64" s="22">
        <v>373.0</v>
      </c>
      <c r="AG64" s="22"/>
      <c r="AH64" s="69">
        <f t="shared" si="11"/>
        <v>1000</v>
      </c>
      <c r="AI64" s="27">
        <v>1000.0</v>
      </c>
      <c r="AJ64" s="88">
        <f t="shared" ref="AJ64:AJ83" si="17">AH64-AI64</f>
        <v>0</v>
      </c>
      <c r="AK64" s="162"/>
      <c r="AL64" s="162"/>
      <c r="AM64" s="162"/>
      <c r="AN64" s="162"/>
      <c r="AO64" s="162">
        <v>0.0</v>
      </c>
      <c r="AP64" s="27">
        <v>1000.0</v>
      </c>
      <c r="AQ64" s="162">
        <v>0.0</v>
      </c>
      <c r="AR64" s="135">
        <v>3.5E8</v>
      </c>
      <c r="AS64" s="135">
        <v>3.10810019E8</v>
      </c>
      <c r="AT64" s="229">
        <v>0.95</v>
      </c>
      <c r="AU64" s="171">
        <f t="shared" si="14"/>
        <v>0.8880286257</v>
      </c>
      <c r="AV64" s="230" t="s">
        <v>394</v>
      </c>
      <c r="AW64" s="42" t="s">
        <v>66</v>
      </c>
      <c r="AX64" s="43"/>
      <c r="AY64" s="42"/>
      <c r="AZ64" s="92"/>
      <c r="BA64" s="92"/>
      <c r="BB64" s="92"/>
      <c r="BC64" s="231"/>
      <c r="BD64" s="92"/>
      <c r="BE64" s="91"/>
      <c r="BF64" s="103" t="s">
        <v>395</v>
      </c>
      <c r="BG64" s="103" t="s">
        <v>396</v>
      </c>
      <c r="BH64" s="93"/>
    </row>
    <row r="65" ht="99.75" customHeight="1">
      <c r="A65" s="21">
        <v>64.0</v>
      </c>
      <c r="B65" s="22">
        <v>2024.0</v>
      </c>
      <c r="C65" s="23" t="s">
        <v>389</v>
      </c>
      <c r="D65" s="24" t="s">
        <v>74</v>
      </c>
      <c r="E65" s="23" t="s">
        <v>75</v>
      </c>
      <c r="F65" s="25" t="s">
        <v>397</v>
      </c>
      <c r="G65" s="23" t="s">
        <v>398</v>
      </c>
      <c r="H65" s="23" t="s">
        <v>398</v>
      </c>
      <c r="I65" s="23" t="s">
        <v>174</v>
      </c>
      <c r="J65" s="23" t="s">
        <v>399</v>
      </c>
      <c r="K65" s="23" t="s">
        <v>400</v>
      </c>
      <c r="L65" s="160">
        <v>5.0</v>
      </c>
      <c r="M65" s="173">
        <v>1000.0</v>
      </c>
      <c r="N65" s="211">
        <v>0.0</v>
      </c>
      <c r="O65" s="82">
        <v>3.49997394E8</v>
      </c>
      <c r="P65" s="135">
        <f>974239774-349997394</f>
        <v>624242380</v>
      </c>
      <c r="Q65" s="163">
        <f t="shared" si="2"/>
        <v>974239774</v>
      </c>
      <c r="R65" s="164">
        <v>0.0</v>
      </c>
      <c r="S65" s="164">
        <v>0.0</v>
      </c>
      <c r="T65" s="165">
        <f t="shared" si="3"/>
        <v>974239774</v>
      </c>
      <c r="U65" s="166" t="s">
        <v>220</v>
      </c>
      <c r="V65" s="166" t="s">
        <v>220</v>
      </c>
      <c r="W65" s="167"/>
      <c r="X65" s="168">
        <v>45497.0</v>
      </c>
      <c r="Y65" s="168">
        <v>45656.0</v>
      </c>
      <c r="Z65" s="177">
        <v>0.0</v>
      </c>
      <c r="AA65" s="170">
        <v>0.0</v>
      </c>
      <c r="AB65" s="168">
        <v>45656.0</v>
      </c>
      <c r="AC65" s="38">
        <f t="shared" si="4"/>
        <v>-631</v>
      </c>
      <c r="AD65" s="22">
        <v>632.0</v>
      </c>
      <c r="AE65" s="22">
        <v>368.0</v>
      </c>
      <c r="AF65" s="22"/>
      <c r="AG65" s="22"/>
      <c r="AH65" s="137">
        <f t="shared" si="11"/>
        <v>1000</v>
      </c>
      <c r="AI65" s="87">
        <v>1000.0</v>
      </c>
      <c r="AJ65" s="88">
        <f t="shared" si="17"/>
        <v>0</v>
      </c>
      <c r="AK65" s="162"/>
      <c r="AL65" s="162"/>
      <c r="AM65" s="162"/>
      <c r="AN65" s="162"/>
      <c r="AO65" s="162">
        <v>0.0</v>
      </c>
      <c r="AP65" s="87">
        <v>1000.0</v>
      </c>
      <c r="AQ65" s="162">
        <v>0.0</v>
      </c>
      <c r="AR65" s="135">
        <v>3.49997394E8</v>
      </c>
      <c r="AS65" s="135">
        <v>3.49997394E8</v>
      </c>
      <c r="AT65" s="171">
        <f t="shared" ref="AT65:AT76" si="18">AP65/M65</f>
        <v>1</v>
      </c>
      <c r="AU65" s="171">
        <f t="shared" si="14"/>
        <v>1</v>
      </c>
      <c r="AV65" s="23" t="s">
        <v>401</v>
      </c>
      <c r="AW65" s="42" t="s">
        <v>402</v>
      </c>
      <c r="AX65" s="182">
        <v>46133.0</v>
      </c>
      <c r="AY65" s="42" t="s">
        <v>273</v>
      </c>
      <c r="AZ65" s="44" t="s">
        <v>68</v>
      </c>
      <c r="BA65" s="44" t="s">
        <v>68</v>
      </c>
      <c r="BB65" s="45" t="s">
        <v>68</v>
      </c>
      <c r="BC65" s="108"/>
      <c r="BD65" s="44" t="s">
        <v>403</v>
      </c>
      <c r="BE65" s="91"/>
      <c r="BF65" s="48"/>
      <c r="BG65" s="103" t="s">
        <v>396</v>
      </c>
      <c r="BH65" s="93"/>
    </row>
    <row r="66" ht="99.75" customHeight="1">
      <c r="A66" s="21">
        <v>65.0</v>
      </c>
      <c r="B66" s="22">
        <v>2024.0</v>
      </c>
      <c r="C66" s="23" t="s">
        <v>389</v>
      </c>
      <c r="D66" s="24" t="s">
        <v>74</v>
      </c>
      <c r="E66" s="23" t="s">
        <v>75</v>
      </c>
      <c r="F66" s="25" t="s">
        <v>404</v>
      </c>
      <c r="G66" s="23" t="s">
        <v>398</v>
      </c>
      <c r="H66" s="23" t="s">
        <v>398</v>
      </c>
      <c r="I66" s="23" t="s">
        <v>174</v>
      </c>
      <c r="J66" s="23" t="s">
        <v>405</v>
      </c>
      <c r="K66" s="23" t="s">
        <v>406</v>
      </c>
      <c r="L66" s="160">
        <v>8.0</v>
      </c>
      <c r="M66" s="173">
        <v>1000.0</v>
      </c>
      <c r="N66" s="211">
        <v>0.0</v>
      </c>
      <c r="O66" s="82">
        <v>3.5E8</v>
      </c>
      <c r="P66" s="135">
        <f>516484387+101639195</f>
        <v>618123582</v>
      </c>
      <c r="Q66" s="163">
        <f t="shared" si="2"/>
        <v>968123582</v>
      </c>
      <c r="R66" s="164">
        <v>0.0</v>
      </c>
      <c r="S66" s="164">
        <v>0.0</v>
      </c>
      <c r="T66" s="165">
        <f t="shared" si="3"/>
        <v>968123582</v>
      </c>
      <c r="U66" s="166" t="s">
        <v>220</v>
      </c>
      <c r="V66" s="166" t="s">
        <v>220</v>
      </c>
      <c r="W66" s="167"/>
      <c r="X66" s="168">
        <v>45678.0</v>
      </c>
      <c r="Y66" s="168">
        <v>45921.0</v>
      </c>
      <c r="Z66" s="177">
        <v>0.0</v>
      </c>
      <c r="AA66" s="170">
        <v>0.0</v>
      </c>
      <c r="AB66" s="168">
        <v>45921.0</v>
      </c>
      <c r="AC66" s="38">
        <f t="shared" si="4"/>
        <v>-366</v>
      </c>
      <c r="AD66" s="22"/>
      <c r="AE66" s="22">
        <v>900.0</v>
      </c>
      <c r="AF66" s="22">
        <v>100.0</v>
      </c>
      <c r="AG66" s="22"/>
      <c r="AH66" s="137">
        <f t="shared" si="11"/>
        <v>1000</v>
      </c>
      <c r="AI66" s="87">
        <v>1000.0</v>
      </c>
      <c r="AJ66" s="88">
        <f t="shared" si="17"/>
        <v>0</v>
      </c>
      <c r="AK66" s="162"/>
      <c r="AL66" s="162"/>
      <c r="AM66" s="162"/>
      <c r="AN66" s="162"/>
      <c r="AO66" s="162">
        <v>0.0</v>
      </c>
      <c r="AP66" s="87">
        <v>1000.0</v>
      </c>
      <c r="AQ66" s="162">
        <v>0.0</v>
      </c>
      <c r="AR66" s="82">
        <v>3.5E8</v>
      </c>
      <c r="AS66" s="82">
        <v>3.22365185E8</v>
      </c>
      <c r="AT66" s="171">
        <f t="shared" si="18"/>
        <v>1</v>
      </c>
      <c r="AU66" s="171">
        <f t="shared" si="14"/>
        <v>0.9210433857</v>
      </c>
      <c r="AV66" s="23" t="s">
        <v>407</v>
      </c>
      <c r="AW66" s="42" t="s">
        <v>402</v>
      </c>
      <c r="AX66" s="43"/>
      <c r="AY66" s="91"/>
      <c r="AZ66" s="92"/>
      <c r="BA66" s="92"/>
      <c r="BB66" s="92"/>
      <c r="BC66" s="46"/>
      <c r="BD66" s="92"/>
      <c r="BE66" s="98"/>
      <c r="BF66" s="48"/>
      <c r="BG66" s="103" t="s">
        <v>396</v>
      </c>
      <c r="BH66" s="93"/>
    </row>
    <row r="67" ht="60.0" customHeight="1">
      <c r="A67" s="21">
        <v>66.0</v>
      </c>
      <c r="B67" s="22">
        <v>2024.0</v>
      </c>
      <c r="C67" s="23" t="s">
        <v>389</v>
      </c>
      <c r="D67" s="24" t="s">
        <v>74</v>
      </c>
      <c r="E67" s="23" t="s">
        <v>75</v>
      </c>
      <c r="F67" s="25" t="s">
        <v>408</v>
      </c>
      <c r="G67" s="23" t="s">
        <v>409</v>
      </c>
      <c r="H67" s="23" t="s">
        <v>409</v>
      </c>
      <c r="I67" s="23" t="s">
        <v>174</v>
      </c>
      <c r="J67" s="23" t="s">
        <v>410</v>
      </c>
      <c r="K67" s="23" t="s">
        <v>411</v>
      </c>
      <c r="L67" s="160">
        <v>8.0</v>
      </c>
      <c r="M67" s="173">
        <v>1000.0</v>
      </c>
      <c r="N67" s="162"/>
      <c r="O67" s="82">
        <v>3.5E8</v>
      </c>
      <c r="P67" s="135">
        <f>717986901+20000000</f>
        <v>737986901</v>
      </c>
      <c r="Q67" s="163">
        <f t="shared" si="2"/>
        <v>1087986901</v>
      </c>
      <c r="R67" s="135">
        <v>0.0</v>
      </c>
      <c r="S67" s="164">
        <v>0.0</v>
      </c>
      <c r="T67" s="165">
        <f t="shared" si="3"/>
        <v>1087986901</v>
      </c>
      <c r="U67" s="166" t="s">
        <v>64</v>
      </c>
      <c r="V67" s="166" t="s">
        <v>64</v>
      </c>
      <c r="W67" s="167"/>
      <c r="X67" s="168">
        <v>45698.0</v>
      </c>
      <c r="Y67" s="168">
        <v>45940.0</v>
      </c>
      <c r="Z67" s="177">
        <v>0.0</v>
      </c>
      <c r="AA67" s="170">
        <v>0.0</v>
      </c>
      <c r="AB67" s="168">
        <v>45940.0</v>
      </c>
      <c r="AC67" s="38">
        <f t="shared" si="4"/>
        <v>-347</v>
      </c>
      <c r="AD67" s="22"/>
      <c r="AE67" s="22">
        <v>780.0</v>
      </c>
      <c r="AF67" s="22">
        <v>220.0</v>
      </c>
      <c r="AG67" s="22"/>
      <c r="AH67" s="232">
        <f>AE67+AF67</f>
        <v>1000</v>
      </c>
      <c r="AI67" s="87">
        <v>1000.0</v>
      </c>
      <c r="AJ67" s="88">
        <f t="shared" si="17"/>
        <v>0</v>
      </c>
      <c r="AK67" s="162"/>
      <c r="AL67" s="162"/>
      <c r="AM67" s="162"/>
      <c r="AN67" s="162"/>
      <c r="AO67" s="162">
        <v>0.0</v>
      </c>
      <c r="AP67" s="27">
        <v>1000.0</v>
      </c>
      <c r="AQ67" s="162">
        <v>0.0</v>
      </c>
      <c r="AR67" s="82">
        <v>3.5E8</v>
      </c>
      <c r="AS67" s="82">
        <v>3.1763519E8</v>
      </c>
      <c r="AT67" s="171">
        <f t="shared" si="18"/>
        <v>1</v>
      </c>
      <c r="AU67" s="171">
        <f t="shared" si="14"/>
        <v>0.9075291143</v>
      </c>
      <c r="AV67" s="233" t="s">
        <v>412</v>
      </c>
      <c r="AW67" s="91"/>
      <c r="AX67" s="43"/>
      <c r="AY67" s="91"/>
      <c r="AZ67" s="92"/>
      <c r="BA67" s="92"/>
      <c r="BB67" s="92"/>
      <c r="BC67" s="102"/>
      <c r="BD67" s="92"/>
      <c r="BE67" s="92"/>
      <c r="BF67" s="48"/>
      <c r="BG67" s="103" t="s">
        <v>396</v>
      </c>
      <c r="BH67" s="93"/>
    </row>
    <row r="68" ht="51.75" customHeight="1">
      <c r="A68" s="21">
        <v>67.0</v>
      </c>
      <c r="B68" s="22">
        <v>2024.0</v>
      </c>
      <c r="C68" s="23" t="s">
        <v>389</v>
      </c>
      <c r="D68" s="80" t="s">
        <v>74</v>
      </c>
      <c r="E68" s="172" t="s">
        <v>75</v>
      </c>
      <c r="F68" s="25" t="s">
        <v>413</v>
      </c>
      <c r="G68" s="23" t="s">
        <v>414</v>
      </c>
      <c r="H68" s="23" t="s">
        <v>414</v>
      </c>
      <c r="I68" s="23" t="s">
        <v>174</v>
      </c>
      <c r="J68" s="23" t="s">
        <v>415</v>
      </c>
      <c r="K68" s="23" t="s">
        <v>416</v>
      </c>
      <c r="L68" s="23">
        <v>7.0</v>
      </c>
      <c r="M68" s="173">
        <v>280.0</v>
      </c>
      <c r="N68" s="162">
        <v>0.0</v>
      </c>
      <c r="O68" s="82">
        <v>9.8E7</v>
      </c>
      <c r="P68" s="82">
        <v>1.38289769E8</v>
      </c>
      <c r="Q68" s="163">
        <f t="shared" si="2"/>
        <v>236289769</v>
      </c>
      <c r="R68" s="164">
        <v>0.0</v>
      </c>
      <c r="S68" s="164">
        <v>0.0</v>
      </c>
      <c r="T68" s="165">
        <f t="shared" si="3"/>
        <v>236289769</v>
      </c>
      <c r="U68" s="83" t="s">
        <v>220</v>
      </c>
      <c r="V68" s="83" t="s">
        <v>220</v>
      </c>
      <c r="W68" s="175"/>
      <c r="X68" s="176">
        <v>45678.0</v>
      </c>
      <c r="Y68" s="176">
        <v>45890.0</v>
      </c>
      <c r="Z68" s="177">
        <v>0.0</v>
      </c>
      <c r="AA68" s="170">
        <v>0.0</v>
      </c>
      <c r="AB68" s="176">
        <v>45890.0</v>
      </c>
      <c r="AC68" s="38">
        <f t="shared" si="4"/>
        <v>-397</v>
      </c>
      <c r="AD68" s="27"/>
      <c r="AE68" s="27">
        <v>280.0</v>
      </c>
      <c r="AF68" s="27"/>
      <c r="AG68" s="27"/>
      <c r="AH68" s="95">
        <f t="shared" ref="AH68:AH83" si="19">AD68+AE68+AF68+AG68</f>
        <v>280</v>
      </c>
      <c r="AI68" s="178">
        <v>280.0</v>
      </c>
      <c r="AJ68" s="88">
        <f t="shared" si="17"/>
        <v>0</v>
      </c>
      <c r="AK68" s="162"/>
      <c r="AL68" s="162"/>
      <c r="AM68" s="162"/>
      <c r="AN68" s="162"/>
      <c r="AO68" s="162">
        <v>0.0</v>
      </c>
      <c r="AP68" s="178">
        <v>280.0</v>
      </c>
      <c r="AQ68" s="162">
        <v>0.0</v>
      </c>
      <c r="AR68" s="82">
        <v>9.8E7</v>
      </c>
      <c r="AS68" s="82">
        <v>8.7239191E7</v>
      </c>
      <c r="AT68" s="171">
        <f t="shared" si="18"/>
        <v>1</v>
      </c>
      <c r="AU68" s="171">
        <f t="shared" si="14"/>
        <v>0.8901958265</v>
      </c>
      <c r="AV68" s="179" t="s">
        <v>417</v>
      </c>
      <c r="AW68" s="91"/>
      <c r="AX68" s="182">
        <v>46199.0</v>
      </c>
      <c r="AY68" s="42" t="s">
        <v>273</v>
      </c>
      <c r="AZ68" s="92"/>
      <c r="BA68" s="92"/>
      <c r="BB68" s="92"/>
      <c r="BC68" s="234">
        <v>0.0</v>
      </c>
      <c r="BD68" s="44" t="s">
        <v>67</v>
      </c>
      <c r="BE68" s="91"/>
      <c r="BF68" s="99"/>
      <c r="BG68" s="103" t="s">
        <v>396</v>
      </c>
      <c r="BH68" s="93"/>
    </row>
    <row r="69" ht="53.25" customHeight="1">
      <c r="A69" s="21">
        <v>68.0</v>
      </c>
      <c r="B69" s="22">
        <v>2024.0</v>
      </c>
      <c r="C69" s="23" t="s">
        <v>389</v>
      </c>
      <c r="D69" s="80" t="s">
        <v>74</v>
      </c>
      <c r="E69" s="172" t="s">
        <v>75</v>
      </c>
      <c r="F69" s="25" t="s">
        <v>418</v>
      </c>
      <c r="G69" s="23" t="s">
        <v>419</v>
      </c>
      <c r="H69" s="23" t="s">
        <v>419</v>
      </c>
      <c r="I69" s="23" t="s">
        <v>174</v>
      </c>
      <c r="J69" s="23" t="s">
        <v>420</v>
      </c>
      <c r="K69" s="23" t="s">
        <v>421</v>
      </c>
      <c r="L69" s="23">
        <v>5.0</v>
      </c>
      <c r="M69" s="173">
        <v>1000.0</v>
      </c>
      <c r="N69" s="162">
        <v>0.0</v>
      </c>
      <c r="O69" s="82">
        <v>3.49987858E8</v>
      </c>
      <c r="P69" s="82">
        <v>6.05154389E8</v>
      </c>
      <c r="Q69" s="163">
        <f t="shared" si="2"/>
        <v>955142247</v>
      </c>
      <c r="R69" s="164">
        <v>0.0</v>
      </c>
      <c r="S69" s="164">
        <v>0.0</v>
      </c>
      <c r="T69" s="165">
        <f t="shared" si="3"/>
        <v>955142247</v>
      </c>
      <c r="U69" s="83" t="s">
        <v>220</v>
      </c>
      <c r="V69" s="83" t="s">
        <v>220</v>
      </c>
      <c r="W69" s="175"/>
      <c r="X69" s="176">
        <v>45502.0</v>
      </c>
      <c r="Y69" s="176">
        <v>45656.0</v>
      </c>
      <c r="Z69" s="177">
        <v>0.0</v>
      </c>
      <c r="AA69" s="170">
        <v>0.0</v>
      </c>
      <c r="AB69" s="176">
        <v>45656.0</v>
      </c>
      <c r="AC69" s="38">
        <f t="shared" si="4"/>
        <v>-631</v>
      </c>
      <c r="AD69" s="27">
        <v>250.0</v>
      </c>
      <c r="AE69" s="27">
        <v>750.0</v>
      </c>
      <c r="AF69" s="27"/>
      <c r="AG69" s="27"/>
      <c r="AH69" s="95">
        <f t="shared" si="19"/>
        <v>1000</v>
      </c>
      <c r="AI69" s="87">
        <v>1000.0</v>
      </c>
      <c r="AJ69" s="88">
        <f t="shared" si="17"/>
        <v>0</v>
      </c>
      <c r="AK69" s="162"/>
      <c r="AL69" s="162"/>
      <c r="AM69" s="162"/>
      <c r="AN69" s="162"/>
      <c r="AO69" s="162">
        <v>0.0</v>
      </c>
      <c r="AP69" s="87">
        <v>1000.0</v>
      </c>
      <c r="AQ69" s="162">
        <v>0.0</v>
      </c>
      <c r="AR69" s="82">
        <v>3.49987858E8</v>
      </c>
      <c r="AS69" s="82">
        <v>3.49987858E8</v>
      </c>
      <c r="AT69" s="171">
        <f t="shared" si="18"/>
        <v>1</v>
      </c>
      <c r="AU69" s="171">
        <f t="shared" si="14"/>
        <v>1</v>
      </c>
      <c r="AV69" s="23" t="s">
        <v>422</v>
      </c>
      <c r="AW69" s="91"/>
      <c r="AX69" s="182">
        <v>46148.0</v>
      </c>
      <c r="AY69" s="42" t="s">
        <v>273</v>
      </c>
      <c r="AZ69" s="92"/>
      <c r="BA69" s="44" t="s">
        <v>68</v>
      </c>
      <c r="BB69" s="45" t="s">
        <v>68</v>
      </c>
      <c r="BC69" s="46"/>
      <c r="BD69" s="44" t="s">
        <v>67</v>
      </c>
      <c r="BE69" s="47"/>
      <c r="BF69" s="99"/>
      <c r="BG69" s="103" t="s">
        <v>396</v>
      </c>
      <c r="BH69" s="93"/>
    </row>
    <row r="70" ht="53.25" customHeight="1">
      <c r="A70" s="21">
        <v>69.0</v>
      </c>
      <c r="B70" s="22">
        <v>2024.0</v>
      </c>
      <c r="C70" s="23" t="s">
        <v>389</v>
      </c>
      <c r="D70" s="80" t="s">
        <v>74</v>
      </c>
      <c r="E70" s="172" t="s">
        <v>75</v>
      </c>
      <c r="F70" s="25" t="s">
        <v>423</v>
      </c>
      <c r="G70" s="23" t="s">
        <v>424</v>
      </c>
      <c r="H70" s="23" t="s">
        <v>424</v>
      </c>
      <c r="I70" s="23" t="s">
        <v>174</v>
      </c>
      <c r="J70" s="23" t="s">
        <v>425</v>
      </c>
      <c r="K70" s="23" t="s">
        <v>426</v>
      </c>
      <c r="L70" s="23">
        <v>5.0</v>
      </c>
      <c r="M70" s="173">
        <v>1000.0</v>
      </c>
      <c r="N70" s="162">
        <v>0.0</v>
      </c>
      <c r="O70" s="82">
        <v>3.49998384E8</v>
      </c>
      <c r="P70" s="82">
        <v>3.00000181E8</v>
      </c>
      <c r="Q70" s="163">
        <f t="shared" si="2"/>
        <v>649998565</v>
      </c>
      <c r="R70" s="164">
        <v>0.0</v>
      </c>
      <c r="S70" s="164">
        <v>0.0</v>
      </c>
      <c r="T70" s="165">
        <f t="shared" si="3"/>
        <v>649998565</v>
      </c>
      <c r="U70" s="83" t="s">
        <v>220</v>
      </c>
      <c r="V70" s="83" t="s">
        <v>220</v>
      </c>
      <c r="W70" s="175"/>
      <c r="X70" s="176">
        <v>45498.0</v>
      </c>
      <c r="Y70" s="176">
        <v>45656.0</v>
      </c>
      <c r="Z70" s="177">
        <v>0.0</v>
      </c>
      <c r="AA70" s="170">
        <v>0.0</v>
      </c>
      <c r="AB70" s="176">
        <v>45656.0</v>
      </c>
      <c r="AC70" s="38">
        <f t="shared" si="4"/>
        <v>-631</v>
      </c>
      <c r="AD70" s="27">
        <v>320.0</v>
      </c>
      <c r="AE70" s="27">
        <v>680.0</v>
      </c>
      <c r="AF70" s="27"/>
      <c r="AG70" s="27"/>
      <c r="AH70" s="95">
        <f t="shared" si="19"/>
        <v>1000</v>
      </c>
      <c r="AI70" s="87">
        <v>1000.0</v>
      </c>
      <c r="AJ70" s="88">
        <f t="shared" si="17"/>
        <v>0</v>
      </c>
      <c r="AK70" s="162"/>
      <c r="AL70" s="162"/>
      <c r="AM70" s="162"/>
      <c r="AN70" s="162"/>
      <c r="AO70" s="162">
        <v>0.0</v>
      </c>
      <c r="AP70" s="87">
        <v>1000.0</v>
      </c>
      <c r="AQ70" s="162">
        <v>0.0</v>
      </c>
      <c r="AR70" s="82">
        <v>3.49998384E8</v>
      </c>
      <c r="AS70" s="82">
        <v>3.49998384E8</v>
      </c>
      <c r="AT70" s="171">
        <f t="shared" si="18"/>
        <v>1</v>
      </c>
      <c r="AU70" s="171">
        <f t="shared" si="14"/>
        <v>1</v>
      </c>
      <c r="AV70" s="23" t="s">
        <v>427</v>
      </c>
      <c r="AW70" s="42" t="s">
        <v>402</v>
      </c>
      <c r="AX70" s="182">
        <v>46108.0</v>
      </c>
      <c r="AY70" s="42" t="s">
        <v>273</v>
      </c>
      <c r="AZ70" s="92"/>
      <c r="BA70" s="44" t="s">
        <v>68</v>
      </c>
      <c r="BB70" s="45" t="s">
        <v>68</v>
      </c>
      <c r="BC70" s="46"/>
      <c r="BD70" s="44" t="s">
        <v>67</v>
      </c>
      <c r="BE70" s="98"/>
      <c r="BF70" s="99"/>
      <c r="BG70" s="103" t="s">
        <v>396</v>
      </c>
      <c r="BH70" s="93"/>
    </row>
    <row r="71" ht="89.25" customHeight="1">
      <c r="A71" s="21">
        <v>70.0</v>
      </c>
      <c r="B71" s="28">
        <v>2024.0</v>
      </c>
      <c r="C71" s="23" t="s">
        <v>428</v>
      </c>
      <c r="D71" s="80" t="s">
        <v>74</v>
      </c>
      <c r="E71" s="23" t="s">
        <v>429</v>
      </c>
      <c r="F71" s="25" t="s">
        <v>430</v>
      </c>
      <c r="G71" s="23" t="s">
        <v>431</v>
      </c>
      <c r="H71" s="23" t="s">
        <v>432</v>
      </c>
      <c r="I71" s="23" t="s">
        <v>78</v>
      </c>
      <c r="J71" s="23" t="s">
        <v>433</v>
      </c>
      <c r="K71" s="23"/>
      <c r="L71" s="23">
        <v>8.0</v>
      </c>
      <c r="M71" s="173">
        <v>1000.0</v>
      </c>
      <c r="N71" s="162">
        <v>0.0</v>
      </c>
      <c r="O71" s="82">
        <v>2.85851423E8</v>
      </c>
      <c r="P71" s="82">
        <f>82068803+470469726+185000000</f>
        <v>737538529</v>
      </c>
      <c r="Q71" s="163">
        <f t="shared" si="2"/>
        <v>1023389952</v>
      </c>
      <c r="R71" s="164">
        <v>0.0</v>
      </c>
      <c r="S71" s="164">
        <v>0.0</v>
      </c>
      <c r="T71" s="165">
        <f t="shared" si="3"/>
        <v>1023389952</v>
      </c>
      <c r="U71" s="83" t="s">
        <v>64</v>
      </c>
      <c r="V71" s="83" t="s">
        <v>64</v>
      </c>
      <c r="W71" s="175"/>
      <c r="X71" s="176">
        <v>45653.0</v>
      </c>
      <c r="Y71" s="176">
        <v>45991.0</v>
      </c>
      <c r="Z71" s="177">
        <v>4.0</v>
      </c>
      <c r="AA71" s="170">
        <v>0.0</v>
      </c>
      <c r="AB71" s="176">
        <v>46111.0</v>
      </c>
      <c r="AC71" s="38">
        <f t="shared" si="4"/>
        <v>-176</v>
      </c>
      <c r="AD71" s="27"/>
      <c r="AE71" s="27"/>
      <c r="AF71" s="27">
        <v>1000.0</v>
      </c>
      <c r="AG71" s="27"/>
      <c r="AH71" s="95">
        <f t="shared" si="19"/>
        <v>1000</v>
      </c>
      <c r="AI71" s="87">
        <v>1000.0</v>
      </c>
      <c r="AJ71" s="88">
        <f t="shared" si="17"/>
        <v>0</v>
      </c>
      <c r="AK71" s="162"/>
      <c r="AL71" s="162"/>
      <c r="AM71" s="162"/>
      <c r="AN71" s="162"/>
      <c r="AO71" s="162">
        <v>0.0</v>
      </c>
      <c r="AP71" s="178">
        <v>1000.0</v>
      </c>
      <c r="AQ71" s="162">
        <v>0.0</v>
      </c>
      <c r="AR71" s="82">
        <f t="shared" ref="AR71:AR82" si="20">O71</f>
        <v>285851423</v>
      </c>
      <c r="AS71" s="82">
        <v>2.52176318E8</v>
      </c>
      <c r="AT71" s="171">
        <f t="shared" si="18"/>
        <v>1</v>
      </c>
      <c r="AU71" s="171">
        <f t="shared" si="14"/>
        <v>0.8821936772</v>
      </c>
      <c r="AV71" s="235" t="s">
        <v>434</v>
      </c>
      <c r="AW71" s="91"/>
      <c r="AX71" s="43"/>
      <c r="AY71" s="91"/>
      <c r="AZ71" s="92"/>
      <c r="BA71" s="92"/>
      <c r="BB71" s="92"/>
      <c r="BC71" s="102"/>
      <c r="BD71" s="92"/>
      <c r="BE71" s="92"/>
      <c r="BF71" s="93"/>
      <c r="BG71" s="93"/>
      <c r="BH71" s="93"/>
    </row>
    <row r="72" ht="58.5" customHeight="1">
      <c r="A72" s="50">
        <v>71.0</v>
      </c>
      <c r="B72" s="51">
        <v>2025.0</v>
      </c>
      <c r="C72" s="184" t="s">
        <v>73</v>
      </c>
      <c r="D72" s="185" t="s">
        <v>74</v>
      </c>
      <c r="E72" s="186" t="s">
        <v>75</v>
      </c>
      <c r="F72" s="53" t="s">
        <v>435</v>
      </c>
      <c r="G72" s="184" t="s">
        <v>84</v>
      </c>
      <c r="H72" s="184" t="str">
        <f t="shared" ref="H72:H82" si="21">G72</f>
        <v>ZARAGOZA</v>
      </c>
      <c r="I72" s="184" t="s">
        <v>85</v>
      </c>
      <c r="J72" s="184" t="s">
        <v>436</v>
      </c>
      <c r="K72" s="184" t="s">
        <v>437</v>
      </c>
      <c r="L72" s="184">
        <v>6.0</v>
      </c>
      <c r="M72" s="100">
        <v>500.0</v>
      </c>
      <c r="N72" s="187">
        <v>0.0</v>
      </c>
      <c r="O72" s="113">
        <v>1.75E8</v>
      </c>
      <c r="P72" s="113">
        <v>2.351437118E9</v>
      </c>
      <c r="Q72" s="188">
        <f t="shared" si="2"/>
        <v>2526437118</v>
      </c>
      <c r="R72" s="114">
        <v>0.0</v>
      </c>
      <c r="S72" s="189">
        <v>0.0</v>
      </c>
      <c r="T72" s="190">
        <f t="shared" si="3"/>
        <v>2526437118</v>
      </c>
      <c r="U72" s="221" t="s">
        <v>438</v>
      </c>
      <c r="V72" s="221" t="s">
        <v>438</v>
      </c>
      <c r="W72" s="192"/>
      <c r="X72" s="193">
        <v>45973.0</v>
      </c>
      <c r="Y72" s="193">
        <v>46154.0</v>
      </c>
      <c r="Z72" s="194">
        <v>3.0</v>
      </c>
      <c r="AA72" s="236"/>
      <c r="AB72" s="193">
        <v>46301.0</v>
      </c>
      <c r="AC72" s="66">
        <f t="shared" si="4"/>
        <v>14</v>
      </c>
      <c r="AD72" s="55"/>
      <c r="AE72" s="196">
        <v>25.0</v>
      </c>
      <c r="AF72" s="196">
        <v>270.0</v>
      </c>
      <c r="AG72" s="196"/>
      <c r="AH72" s="95">
        <f t="shared" si="19"/>
        <v>295</v>
      </c>
      <c r="AI72" s="237">
        <v>295.0</v>
      </c>
      <c r="AJ72" s="88">
        <f t="shared" si="17"/>
        <v>0</v>
      </c>
      <c r="AK72" s="187"/>
      <c r="AL72" s="187"/>
      <c r="AM72" s="187"/>
      <c r="AN72" s="187"/>
      <c r="AO72" s="187">
        <v>0.0</v>
      </c>
      <c r="AP72" s="178">
        <v>295.0</v>
      </c>
      <c r="AQ72" s="187">
        <v>0.0</v>
      </c>
      <c r="AR72" s="113">
        <f t="shared" si="20"/>
        <v>175000000</v>
      </c>
      <c r="AS72" s="113">
        <v>1.7492911E8</v>
      </c>
      <c r="AT72" s="198">
        <f t="shared" si="18"/>
        <v>0.59</v>
      </c>
      <c r="AU72" s="198">
        <f t="shared" si="14"/>
        <v>0.9995949143</v>
      </c>
      <c r="AV72" s="107" t="s">
        <v>439</v>
      </c>
      <c r="AW72" s="74"/>
      <c r="AX72" s="75"/>
      <c r="AY72" s="74"/>
      <c r="AZ72" s="76"/>
      <c r="BA72" s="76"/>
      <c r="BB72" s="76"/>
      <c r="BC72" s="77"/>
      <c r="BD72" s="76"/>
      <c r="BE72" s="117"/>
      <c r="BF72" s="199"/>
    </row>
    <row r="73" ht="48.75" customHeight="1">
      <c r="A73" s="21">
        <v>72.0</v>
      </c>
      <c r="B73" s="22">
        <v>2025.0</v>
      </c>
      <c r="C73" s="23" t="s">
        <v>90</v>
      </c>
      <c r="D73" s="80" t="s">
        <v>74</v>
      </c>
      <c r="E73" s="172" t="s">
        <v>75</v>
      </c>
      <c r="F73" s="25" t="s">
        <v>440</v>
      </c>
      <c r="G73" s="23" t="s">
        <v>92</v>
      </c>
      <c r="H73" s="23" t="str">
        <f t="shared" si="21"/>
        <v>MACEO</v>
      </c>
      <c r="I73" s="23" t="s">
        <v>93</v>
      </c>
      <c r="J73" s="23" t="s">
        <v>441</v>
      </c>
      <c r="K73" s="23" t="s">
        <v>442</v>
      </c>
      <c r="L73" s="23">
        <v>4.0</v>
      </c>
      <c r="M73" s="173">
        <v>1000.0</v>
      </c>
      <c r="N73" s="162">
        <v>0.0</v>
      </c>
      <c r="O73" s="82">
        <v>3.5E8</v>
      </c>
      <c r="P73" s="82">
        <v>0.0</v>
      </c>
      <c r="Q73" s="163">
        <f t="shared" si="2"/>
        <v>350000000</v>
      </c>
      <c r="R73" s="164">
        <v>0.0</v>
      </c>
      <c r="S73" s="164">
        <v>0.0</v>
      </c>
      <c r="T73" s="165">
        <f t="shared" si="3"/>
        <v>350000000</v>
      </c>
      <c r="U73" s="174" t="s">
        <v>64</v>
      </c>
      <c r="V73" s="174" t="s">
        <v>64</v>
      </c>
      <c r="W73" s="175"/>
      <c r="X73" s="176">
        <v>45881.0</v>
      </c>
      <c r="Y73" s="176">
        <v>46022.0</v>
      </c>
      <c r="Z73" s="177">
        <v>0.0</v>
      </c>
      <c r="AA73" s="170">
        <v>0.0</v>
      </c>
      <c r="AB73" s="176">
        <v>46022.0</v>
      </c>
      <c r="AC73" s="38">
        <f t="shared" si="4"/>
        <v>-265</v>
      </c>
      <c r="AD73" s="27"/>
      <c r="AE73" s="27">
        <v>700.0</v>
      </c>
      <c r="AF73" s="27">
        <v>300.0</v>
      </c>
      <c r="AG73" s="27"/>
      <c r="AH73" s="95">
        <f t="shared" si="19"/>
        <v>1000</v>
      </c>
      <c r="AI73" s="87">
        <v>1000.0</v>
      </c>
      <c r="AJ73" s="88">
        <f t="shared" si="17"/>
        <v>0</v>
      </c>
      <c r="AK73" s="162"/>
      <c r="AL73" s="162"/>
      <c r="AM73" s="162"/>
      <c r="AN73" s="162"/>
      <c r="AO73" s="162">
        <v>0.0</v>
      </c>
      <c r="AP73" s="87">
        <v>1000.0</v>
      </c>
      <c r="AQ73" s="162">
        <v>0.0</v>
      </c>
      <c r="AR73" s="82">
        <f t="shared" si="20"/>
        <v>350000000</v>
      </c>
      <c r="AS73" s="82">
        <v>3.10250301E8</v>
      </c>
      <c r="AT73" s="171">
        <f t="shared" si="18"/>
        <v>1</v>
      </c>
      <c r="AU73" s="171">
        <f t="shared" si="14"/>
        <v>0.8864294314</v>
      </c>
      <c r="AV73" s="225" t="s">
        <v>443</v>
      </c>
      <c r="AW73" s="91"/>
      <c r="AX73" s="43"/>
      <c r="AY73" s="91"/>
      <c r="AZ73" s="92"/>
      <c r="BA73" s="92"/>
      <c r="BB73" s="92"/>
      <c r="BC73" s="46"/>
      <c r="BD73" s="92"/>
      <c r="BE73" s="47"/>
      <c r="BF73" s="99"/>
      <c r="BG73" s="99"/>
      <c r="BH73" s="99"/>
    </row>
    <row r="74" ht="102.0" customHeight="1">
      <c r="A74" s="21">
        <v>73.0</v>
      </c>
      <c r="B74" s="22">
        <v>2025.0</v>
      </c>
      <c r="C74" s="23" t="s">
        <v>90</v>
      </c>
      <c r="D74" s="80" t="s">
        <v>74</v>
      </c>
      <c r="E74" s="172" t="s">
        <v>75</v>
      </c>
      <c r="F74" s="25" t="s">
        <v>444</v>
      </c>
      <c r="G74" s="23" t="s">
        <v>98</v>
      </c>
      <c r="H74" s="23" t="str">
        <f t="shared" si="21"/>
        <v>PUERTO TRIUNFO</v>
      </c>
      <c r="I74" s="23" t="s">
        <v>93</v>
      </c>
      <c r="J74" s="23" t="s">
        <v>445</v>
      </c>
      <c r="K74" s="23" t="s">
        <v>446</v>
      </c>
      <c r="L74" s="23">
        <v>2.0</v>
      </c>
      <c r="M74" s="173">
        <v>200.0</v>
      </c>
      <c r="N74" s="162">
        <v>0.0</v>
      </c>
      <c r="O74" s="82">
        <v>7.0E7</v>
      </c>
      <c r="P74" s="82">
        <v>3.67622813E8</v>
      </c>
      <c r="Q74" s="163">
        <f t="shared" si="2"/>
        <v>437622813</v>
      </c>
      <c r="R74" s="135">
        <v>0.0</v>
      </c>
      <c r="S74" s="164">
        <v>0.0</v>
      </c>
      <c r="T74" s="165">
        <f t="shared" si="3"/>
        <v>437622813</v>
      </c>
      <c r="U74" s="83" t="s">
        <v>64</v>
      </c>
      <c r="V74" s="83" t="s">
        <v>64</v>
      </c>
      <c r="W74" s="175"/>
      <c r="X74" s="176">
        <v>45966.0</v>
      </c>
      <c r="Y74" s="176">
        <v>46022.0</v>
      </c>
      <c r="Z74" s="177">
        <v>0.0</v>
      </c>
      <c r="AA74" s="170">
        <v>0.0</v>
      </c>
      <c r="AB74" s="176">
        <v>46022.0</v>
      </c>
      <c r="AC74" s="38">
        <f t="shared" si="4"/>
        <v>-265</v>
      </c>
      <c r="AD74" s="27"/>
      <c r="AE74" s="27">
        <v>20.0</v>
      </c>
      <c r="AF74" s="27">
        <v>180.0</v>
      </c>
      <c r="AG74" s="27"/>
      <c r="AH74" s="95">
        <f t="shared" si="19"/>
        <v>200</v>
      </c>
      <c r="AI74" s="178">
        <v>200.0</v>
      </c>
      <c r="AJ74" s="88">
        <f t="shared" si="17"/>
        <v>0</v>
      </c>
      <c r="AK74" s="162"/>
      <c r="AL74" s="162"/>
      <c r="AM74" s="162"/>
      <c r="AN74" s="162"/>
      <c r="AO74" s="162">
        <v>0.0</v>
      </c>
      <c r="AP74" s="87">
        <v>200.0</v>
      </c>
      <c r="AQ74" s="162">
        <v>0.0</v>
      </c>
      <c r="AR74" s="82">
        <f t="shared" si="20"/>
        <v>70000000</v>
      </c>
      <c r="AS74" s="82">
        <v>6.9788123E7</v>
      </c>
      <c r="AT74" s="171">
        <f t="shared" si="18"/>
        <v>1</v>
      </c>
      <c r="AU74" s="171">
        <f t="shared" si="14"/>
        <v>0.9969731857</v>
      </c>
      <c r="AV74" s="107" t="s">
        <v>447</v>
      </c>
      <c r="AW74" s="91"/>
      <c r="AX74" s="43"/>
      <c r="AY74" s="91"/>
      <c r="AZ74" s="92"/>
      <c r="BA74" s="92"/>
      <c r="BB74" s="92"/>
      <c r="BC74" s="46"/>
      <c r="BD74" s="92"/>
      <c r="BE74" s="47"/>
      <c r="BF74" s="99"/>
      <c r="BG74" s="103"/>
      <c r="BH74" s="99"/>
    </row>
    <row r="75" ht="102.0" customHeight="1">
      <c r="A75" s="21">
        <v>74.0</v>
      </c>
      <c r="B75" s="22">
        <v>2025.0</v>
      </c>
      <c r="C75" s="23" t="s">
        <v>90</v>
      </c>
      <c r="D75" s="80" t="s">
        <v>74</v>
      </c>
      <c r="E75" s="172" t="s">
        <v>75</v>
      </c>
      <c r="F75" s="25" t="s">
        <v>448</v>
      </c>
      <c r="G75" s="23" t="s">
        <v>92</v>
      </c>
      <c r="H75" s="23" t="str">
        <f t="shared" si="21"/>
        <v>MACEO</v>
      </c>
      <c r="I75" s="23" t="s">
        <v>93</v>
      </c>
      <c r="J75" s="23" t="s">
        <v>449</v>
      </c>
      <c r="K75" s="23" t="s">
        <v>450</v>
      </c>
      <c r="L75" s="23">
        <v>2.0</v>
      </c>
      <c r="M75" s="173">
        <v>200.0</v>
      </c>
      <c r="N75" s="162">
        <v>0.0</v>
      </c>
      <c r="O75" s="82">
        <v>7.0E7</v>
      </c>
      <c r="P75" s="82">
        <v>6.76054008E8</v>
      </c>
      <c r="Q75" s="163">
        <f t="shared" si="2"/>
        <v>746054008</v>
      </c>
      <c r="R75" s="135">
        <v>0.0</v>
      </c>
      <c r="S75" s="164">
        <v>0.0</v>
      </c>
      <c r="T75" s="165">
        <f t="shared" si="3"/>
        <v>746054008</v>
      </c>
      <c r="U75" s="83" t="s">
        <v>64</v>
      </c>
      <c r="V75" s="83" t="s">
        <v>64</v>
      </c>
      <c r="W75" s="175"/>
      <c r="X75" s="176">
        <v>45966.0</v>
      </c>
      <c r="Y75" s="176">
        <v>46022.0</v>
      </c>
      <c r="Z75" s="177">
        <v>0.0</v>
      </c>
      <c r="AA75" s="170">
        <v>0.0</v>
      </c>
      <c r="AB75" s="176">
        <v>46022.0</v>
      </c>
      <c r="AC75" s="38">
        <f t="shared" si="4"/>
        <v>-265</v>
      </c>
      <c r="AD75" s="27"/>
      <c r="AE75" s="27">
        <v>10.0</v>
      </c>
      <c r="AF75" s="27">
        <v>190.0</v>
      </c>
      <c r="AG75" s="27"/>
      <c r="AH75" s="95">
        <f t="shared" si="19"/>
        <v>200</v>
      </c>
      <c r="AI75" s="178">
        <v>200.0</v>
      </c>
      <c r="AJ75" s="88">
        <f t="shared" si="17"/>
        <v>0</v>
      </c>
      <c r="AK75" s="162"/>
      <c r="AL75" s="162"/>
      <c r="AM75" s="162"/>
      <c r="AN75" s="162"/>
      <c r="AO75" s="162">
        <v>0.0</v>
      </c>
      <c r="AP75" s="87">
        <v>200.0</v>
      </c>
      <c r="AQ75" s="162">
        <v>0.0</v>
      </c>
      <c r="AR75" s="82">
        <f t="shared" si="20"/>
        <v>70000000</v>
      </c>
      <c r="AS75" s="82">
        <v>6.7478812E7</v>
      </c>
      <c r="AT75" s="171">
        <f t="shared" si="18"/>
        <v>1</v>
      </c>
      <c r="AU75" s="171">
        <f t="shared" si="14"/>
        <v>0.9639830286</v>
      </c>
      <c r="AV75" s="107" t="s">
        <v>451</v>
      </c>
      <c r="AW75" s="91"/>
      <c r="AX75" s="43"/>
      <c r="AY75" s="91"/>
      <c r="AZ75" s="92"/>
      <c r="BA75" s="92"/>
      <c r="BB75" s="92"/>
      <c r="BC75" s="46"/>
      <c r="BD75" s="92"/>
      <c r="BE75" s="47"/>
      <c r="BF75" s="99"/>
      <c r="BG75" s="103"/>
      <c r="BH75" s="99"/>
    </row>
    <row r="76" ht="102.0" customHeight="1">
      <c r="A76" s="21">
        <v>75.0</v>
      </c>
      <c r="B76" s="22">
        <v>2025.0</v>
      </c>
      <c r="C76" s="23" t="s">
        <v>90</v>
      </c>
      <c r="D76" s="80" t="s">
        <v>74</v>
      </c>
      <c r="E76" s="172" t="s">
        <v>75</v>
      </c>
      <c r="F76" s="25" t="s">
        <v>452</v>
      </c>
      <c r="G76" s="23" t="s">
        <v>114</v>
      </c>
      <c r="H76" s="23" t="str">
        <f t="shared" si="21"/>
        <v>YOLOMBÓ</v>
      </c>
      <c r="I76" s="23" t="s">
        <v>104</v>
      </c>
      <c r="J76" s="23" t="s">
        <v>453</v>
      </c>
      <c r="K76" s="23" t="s">
        <v>454</v>
      </c>
      <c r="L76" s="23">
        <v>2.0</v>
      </c>
      <c r="M76" s="173">
        <v>500.0</v>
      </c>
      <c r="N76" s="162">
        <v>0.0</v>
      </c>
      <c r="O76" s="82">
        <v>1.75E8</v>
      </c>
      <c r="P76" s="82">
        <v>2.47359336E8</v>
      </c>
      <c r="Q76" s="163">
        <f t="shared" si="2"/>
        <v>422359336</v>
      </c>
      <c r="R76" s="135">
        <v>0.0</v>
      </c>
      <c r="S76" s="164">
        <v>0.0</v>
      </c>
      <c r="T76" s="165">
        <f t="shared" si="3"/>
        <v>422359336</v>
      </c>
      <c r="U76" s="83" t="s">
        <v>64</v>
      </c>
      <c r="V76" s="83" t="s">
        <v>387</v>
      </c>
      <c r="W76" s="175"/>
      <c r="X76" s="176">
        <v>45966.0</v>
      </c>
      <c r="Y76" s="176">
        <v>46022.0</v>
      </c>
      <c r="Z76" s="177">
        <v>0.0</v>
      </c>
      <c r="AA76" s="170">
        <v>0.0</v>
      </c>
      <c r="AB76" s="176">
        <v>46022.0</v>
      </c>
      <c r="AC76" s="38">
        <f t="shared" si="4"/>
        <v>-265</v>
      </c>
      <c r="AD76" s="27"/>
      <c r="AE76" s="27">
        <v>25.0</v>
      </c>
      <c r="AF76" s="27">
        <v>475.0</v>
      </c>
      <c r="AG76" s="27"/>
      <c r="AH76" s="95">
        <f t="shared" si="19"/>
        <v>500</v>
      </c>
      <c r="AI76" s="178">
        <v>500.0</v>
      </c>
      <c r="AJ76" s="88">
        <f t="shared" si="17"/>
        <v>0</v>
      </c>
      <c r="AK76" s="162"/>
      <c r="AL76" s="162"/>
      <c r="AM76" s="162"/>
      <c r="AN76" s="162"/>
      <c r="AO76" s="162">
        <v>0.0</v>
      </c>
      <c r="AP76" s="87">
        <v>500.0</v>
      </c>
      <c r="AQ76" s="162">
        <v>0.0</v>
      </c>
      <c r="AR76" s="82">
        <f t="shared" si="20"/>
        <v>175000000</v>
      </c>
      <c r="AS76" s="82">
        <v>1.6894367E8</v>
      </c>
      <c r="AT76" s="171">
        <f t="shared" si="18"/>
        <v>1</v>
      </c>
      <c r="AU76" s="238">
        <f t="shared" si="14"/>
        <v>0.9653924</v>
      </c>
      <c r="AV76" s="107" t="s">
        <v>455</v>
      </c>
      <c r="AW76" s="91"/>
      <c r="AX76" s="43"/>
      <c r="AY76" s="91"/>
      <c r="AZ76" s="92"/>
      <c r="BA76" s="92"/>
      <c r="BB76" s="92"/>
      <c r="BC76" s="46"/>
      <c r="BD76" s="92"/>
      <c r="BE76" s="47"/>
      <c r="BF76" s="99"/>
      <c r="BG76" s="103"/>
      <c r="BH76" s="99"/>
    </row>
    <row r="77" ht="102.0" customHeight="1">
      <c r="A77" s="21">
        <v>76.0</v>
      </c>
      <c r="B77" s="22">
        <v>2025.0</v>
      </c>
      <c r="C77" s="23" t="s">
        <v>90</v>
      </c>
      <c r="D77" s="80" t="s">
        <v>74</v>
      </c>
      <c r="E77" s="172" t="s">
        <v>75</v>
      </c>
      <c r="F77" s="25" t="s">
        <v>456</v>
      </c>
      <c r="G77" s="23" t="s">
        <v>314</v>
      </c>
      <c r="H77" s="23" t="str">
        <f t="shared" si="21"/>
        <v>SAN VICENTE DE FERRER</v>
      </c>
      <c r="I77" s="23" t="s">
        <v>120</v>
      </c>
      <c r="J77" s="23" t="s">
        <v>457</v>
      </c>
      <c r="K77" s="23" t="s">
        <v>458</v>
      </c>
      <c r="L77" s="23">
        <v>1.5</v>
      </c>
      <c r="M77" s="173">
        <v>500.0</v>
      </c>
      <c r="N77" s="162">
        <v>0.0</v>
      </c>
      <c r="O77" s="82">
        <v>1.75E8</v>
      </c>
      <c r="P77" s="82">
        <v>0.0</v>
      </c>
      <c r="Q77" s="163">
        <f t="shared" si="2"/>
        <v>175000000</v>
      </c>
      <c r="R77" s="135">
        <v>0.0</v>
      </c>
      <c r="S77" s="164">
        <v>0.0</v>
      </c>
      <c r="T77" s="165">
        <f t="shared" si="3"/>
        <v>175000000</v>
      </c>
      <c r="U77" s="83" t="s">
        <v>64</v>
      </c>
      <c r="V77" s="83" t="s">
        <v>64</v>
      </c>
      <c r="W77" s="175"/>
      <c r="X77" s="176">
        <v>45975.0</v>
      </c>
      <c r="Y77" s="176">
        <v>46022.0</v>
      </c>
      <c r="Z77" s="177">
        <v>0.0</v>
      </c>
      <c r="AA77" s="170">
        <v>0.0</v>
      </c>
      <c r="AB77" s="176">
        <v>46022.0</v>
      </c>
      <c r="AC77" s="38">
        <f t="shared" si="4"/>
        <v>-265</v>
      </c>
      <c r="AD77" s="27"/>
      <c r="AE77" s="81">
        <v>50.0</v>
      </c>
      <c r="AF77" s="81">
        <v>450.0</v>
      </c>
      <c r="AH77" s="95">
        <f t="shared" si="19"/>
        <v>500</v>
      </c>
      <c r="AI77" s="197">
        <v>500.0</v>
      </c>
      <c r="AJ77" s="88">
        <f t="shared" si="17"/>
        <v>0</v>
      </c>
      <c r="AK77" s="162"/>
      <c r="AL77" s="162"/>
      <c r="AM77" s="162"/>
      <c r="AN77" s="162"/>
      <c r="AO77" s="162">
        <v>0.0</v>
      </c>
      <c r="AP77" s="87">
        <v>500.0</v>
      </c>
      <c r="AQ77" s="162">
        <v>0.0</v>
      </c>
      <c r="AR77" s="82">
        <f t="shared" si="20"/>
        <v>175000000</v>
      </c>
      <c r="AS77" s="82">
        <v>1.75E8</v>
      </c>
      <c r="AT77" s="239">
        <v>1.0</v>
      </c>
      <c r="AU77" s="239">
        <v>1.0</v>
      </c>
      <c r="AV77" s="240" t="s">
        <v>459</v>
      </c>
      <c r="AW77" s="91"/>
      <c r="AX77" s="43"/>
      <c r="AY77" s="91"/>
      <c r="AZ77" s="92"/>
      <c r="BA77" s="92"/>
      <c r="BB77" s="92"/>
      <c r="BC77" s="46"/>
      <c r="BD77" s="92"/>
      <c r="BE77" s="47"/>
      <c r="BF77" s="99"/>
      <c r="BG77" s="103"/>
      <c r="BH77" s="99"/>
    </row>
    <row r="78" ht="102.0" customHeight="1">
      <c r="A78" s="21">
        <v>77.0</v>
      </c>
      <c r="B78" s="22">
        <v>2025.0</v>
      </c>
      <c r="C78" s="23" t="s">
        <v>124</v>
      </c>
      <c r="D78" s="80" t="s">
        <v>74</v>
      </c>
      <c r="E78" s="172" t="s">
        <v>75</v>
      </c>
      <c r="F78" s="25" t="s">
        <v>460</v>
      </c>
      <c r="G78" s="23" t="s">
        <v>461</v>
      </c>
      <c r="H78" s="23" t="str">
        <f t="shared" si="21"/>
        <v>GIRARDOTA</v>
      </c>
      <c r="I78" s="23" t="s">
        <v>185</v>
      </c>
      <c r="J78" s="23" t="s">
        <v>462</v>
      </c>
      <c r="K78" s="23" t="s">
        <v>463</v>
      </c>
      <c r="L78" s="23">
        <v>7.0</v>
      </c>
      <c r="M78" s="173">
        <v>530.0</v>
      </c>
      <c r="N78" s="162">
        <v>0.0</v>
      </c>
      <c r="O78" s="82">
        <v>1.80782009E8</v>
      </c>
      <c r="P78" s="82">
        <v>2.25E8</v>
      </c>
      <c r="Q78" s="163">
        <f t="shared" si="2"/>
        <v>405782009</v>
      </c>
      <c r="R78" s="164">
        <v>0.0</v>
      </c>
      <c r="S78" s="164">
        <v>0.0</v>
      </c>
      <c r="T78" s="165">
        <f t="shared" si="3"/>
        <v>405782009</v>
      </c>
      <c r="U78" s="174" t="s">
        <v>64</v>
      </c>
      <c r="V78" s="174" t="s">
        <v>64</v>
      </c>
      <c r="W78" s="175"/>
      <c r="X78" s="176">
        <v>45770.0</v>
      </c>
      <c r="Y78" s="176">
        <v>45984.0</v>
      </c>
      <c r="Z78" s="177">
        <v>0.0</v>
      </c>
      <c r="AA78" s="170">
        <v>0.0</v>
      </c>
      <c r="AB78" s="176">
        <v>45984.0</v>
      </c>
      <c r="AC78" s="38">
        <f t="shared" si="4"/>
        <v>-303</v>
      </c>
      <c r="AD78" s="27"/>
      <c r="AE78" s="27">
        <v>371.0</v>
      </c>
      <c r="AF78" s="27">
        <v>159.0</v>
      </c>
      <c r="AH78" s="95">
        <f t="shared" si="19"/>
        <v>530</v>
      </c>
      <c r="AI78" s="178">
        <v>530.0</v>
      </c>
      <c r="AJ78" s="88">
        <f t="shared" si="17"/>
        <v>0</v>
      </c>
      <c r="AK78" s="162"/>
      <c r="AL78" s="162"/>
      <c r="AM78" s="162"/>
      <c r="AN78" s="162"/>
      <c r="AO78" s="162">
        <v>0.0</v>
      </c>
      <c r="AP78" s="87">
        <v>530.0</v>
      </c>
      <c r="AQ78" s="162">
        <v>0.0</v>
      </c>
      <c r="AR78" s="82">
        <f t="shared" si="20"/>
        <v>180782009</v>
      </c>
      <c r="AS78" s="82">
        <v>1.62348179E8</v>
      </c>
      <c r="AT78" s="171">
        <f t="shared" ref="AT78:AT83" si="22">AP78/M78</f>
        <v>1</v>
      </c>
      <c r="AU78" s="171">
        <f t="shared" ref="AU78:AU360" si="23">AS78/AR78</f>
        <v>0.8980328291</v>
      </c>
      <c r="AV78" s="179" t="s">
        <v>464</v>
      </c>
      <c r="AW78" s="91"/>
      <c r="AX78" s="43"/>
      <c r="AY78" s="91"/>
      <c r="AZ78" s="92"/>
      <c r="BA78" s="92"/>
      <c r="BB78" s="92"/>
      <c r="BC78" s="46"/>
      <c r="BD78" s="92"/>
      <c r="BE78" s="47"/>
      <c r="BF78" s="99"/>
      <c r="BG78" s="103"/>
      <c r="BH78" s="99"/>
    </row>
    <row r="79" ht="102.0" customHeight="1">
      <c r="A79" s="50">
        <v>78.0</v>
      </c>
      <c r="B79" s="51">
        <v>2025.0</v>
      </c>
      <c r="C79" s="184" t="s">
        <v>124</v>
      </c>
      <c r="D79" s="185" t="s">
        <v>74</v>
      </c>
      <c r="E79" s="186" t="s">
        <v>75</v>
      </c>
      <c r="F79" s="53" t="s">
        <v>465</v>
      </c>
      <c r="G79" s="184" t="s">
        <v>136</v>
      </c>
      <c r="H79" s="184" t="str">
        <f t="shared" si="21"/>
        <v>OLAYA</v>
      </c>
      <c r="I79" s="184" t="s">
        <v>127</v>
      </c>
      <c r="J79" s="184" t="s">
        <v>466</v>
      </c>
      <c r="K79" s="184" t="s">
        <v>467</v>
      </c>
      <c r="L79" s="184">
        <v>5.0</v>
      </c>
      <c r="M79" s="100">
        <v>300.0</v>
      </c>
      <c r="N79" s="187">
        <v>0.0</v>
      </c>
      <c r="O79" s="113">
        <v>1.05E8</v>
      </c>
      <c r="P79" s="113">
        <v>1.78629412E8</v>
      </c>
      <c r="Q79" s="188">
        <f t="shared" si="2"/>
        <v>283629412</v>
      </c>
      <c r="R79" s="114">
        <v>0.0</v>
      </c>
      <c r="S79" s="189">
        <v>0.0</v>
      </c>
      <c r="T79" s="190">
        <f t="shared" si="3"/>
        <v>283629412</v>
      </c>
      <c r="U79" s="221" t="s">
        <v>64</v>
      </c>
      <c r="V79" s="221" t="s">
        <v>64</v>
      </c>
      <c r="W79" s="192"/>
      <c r="X79" s="193">
        <v>45968.0</v>
      </c>
      <c r="Y79" s="193">
        <v>46022.0</v>
      </c>
      <c r="Z79" s="194">
        <v>0.0</v>
      </c>
      <c r="AA79" s="195">
        <v>0.0</v>
      </c>
      <c r="AB79" s="193">
        <v>46022.0</v>
      </c>
      <c r="AC79" s="66">
        <f t="shared" si="4"/>
        <v>-265</v>
      </c>
      <c r="AD79" s="55"/>
      <c r="AE79" s="55">
        <v>30.0</v>
      </c>
      <c r="AF79" s="55">
        <v>180.0</v>
      </c>
      <c r="AH79" s="95">
        <f t="shared" si="19"/>
        <v>210</v>
      </c>
      <c r="AI79" s="100">
        <v>210.0</v>
      </c>
      <c r="AJ79" s="88">
        <f t="shared" si="17"/>
        <v>0</v>
      </c>
      <c r="AK79" s="187"/>
      <c r="AL79" s="187"/>
      <c r="AM79" s="187"/>
      <c r="AN79" s="187"/>
      <c r="AO79" s="187">
        <v>0.0</v>
      </c>
      <c r="AP79" s="178">
        <v>210.0</v>
      </c>
      <c r="AQ79" s="187">
        <v>0.0</v>
      </c>
      <c r="AR79" s="113">
        <f t="shared" si="20"/>
        <v>105000000</v>
      </c>
      <c r="AS79" s="113">
        <v>9.0533928E7</v>
      </c>
      <c r="AT79" s="198">
        <f t="shared" si="22"/>
        <v>0.7</v>
      </c>
      <c r="AU79" s="198">
        <f t="shared" si="23"/>
        <v>0.8622278857</v>
      </c>
      <c r="AV79" s="107" t="s">
        <v>468</v>
      </c>
      <c r="AW79" s="74"/>
      <c r="AX79" s="75"/>
      <c r="AY79" s="74"/>
      <c r="AZ79" s="76"/>
      <c r="BA79" s="76"/>
      <c r="BB79" s="76"/>
      <c r="BC79" s="77"/>
      <c r="BD79" s="76"/>
      <c r="BE79" s="117"/>
      <c r="BF79" s="199"/>
      <c r="BG79" s="118"/>
      <c r="BH79" s="199"/>
    </row>
    <row r="80" ht="102.0" customHeight="1">
      <c r="A80" s="21">
        <v>79.0</v>
      </c>
      <c r="B80" s="22">
        <v>2025.0</v>
      </c>
      <c r="C80" s="23" t="s">
        <v>124</v>
      </c>
      <c r="D80" s="80" t="s">
        <v>74</v>
      </c>
      <c r="E80" s="172" t="s">
        <v>75</v>
      </c>
      <c r="F80" s="25" t="s">
        <v>469</v>
      </c>
      <c r="G80" s="23" t="s">
        <v>141</v>
      </c>
      <c r="H80" s="23" t="str">
        <f t="shared" si="21"/>
        <v>SAN JERÓNIMO</v>
      </c>
      <c r="I80" s="23" t="s">
        <v>127</v>
      </c>
      <c r="J80" s="23" t="s">
        <v>470</v>
      </c>
      <c r="K80" s="23" t="s">
        <v>471</v>
      </c>
      <c r="L80" s="23">
        <v>2.0</v>
      </c>
      <c r="M80" s="173">
        <v>500.0</v>
      </c>
      <c r="N80" s="162">
        <v>0.0</v>
      </c>
      <c r="O80" s="82">
        <v>1.75E8</v>
      </c>
      <c r="P80" s="82">
        <v>2.86706175E8</v>
      </c>
      <c r="Q80" s="163">
        <f t="shared" si="2"/>
        <v>461706175</v>
      </c>
      <c r="R80" s="135">
        <v>0.0</v>
      </c>
      <c r="S80" s="164">
        <v>0.0</v>
      </c>
      <c r="T80" s="165">
        <f t="shared" si="3"/>
        <v>461706175</v>
      </c>
      <c r="U80" s="83" t="s">
        <v>64</v>
      </c>
      <c r="V80" s="83" t="s">
        <v>64</v>
      </c>
      <c r="W80" s="175"/>
      <c r="X80" s="176">
        <v>45957.0</v>
      </c>
      <c r="Y80" s="176">
        <v>46018.0</v>
      </c>
      <c r="Z80" s="177">
        <v>0.0</v>
      </c>
      <c r="AA80" s="170">
        <v>0.0</v>
      </c>
      <c r="AB80" s="176">
        <v>46018.0</v>
      </c>
      <c r="AC80" s="38">
        <f t="shared" si="4"/>
        <v>-269</v>
      </c>
      <c r="AD80" s="27"/>
      <c r="AE80" s="27">
        <v>50.0</v>
      </c>
      <c r="AF80" s="27">
        <v>450.0</v>
      </c>
      <c r="AH80" s="95">
        <f t="shared" si="19"/>
        <v>500</v>
      </c>
      <c r="AI80" s="178">
        <v>500.0</v>
      </c>
      <c r="AJ80" s="88">
        <f t="shared" si="17"/>
        <v>0</v>
      </c>
      <c r="AK80" s="162"/>
      <c r="AL80" s="162"/>
      <c r="AM80" s="162"/>
      <c r="AN80" s="162"/>
      <c r="AO80" s="162">
        <v>0.0</v>
      </c>
      <c r="AP80" s="87">
        <v>500.0</v>
      </c>
      <c r="AQ80" s="162">
        <v>0.0</v>
      </c>
      <c r="AR80" s="82">
        <f t="shared" si="20"/>
        <v>175000000</v>
      </c>
      <c r="AS80" s="82">
        <v>1.73931362E8</v>
      </c>
      <c r="AT80" s="171">
        <f t="shared" si="22"/>
        <v>1</v>
      </c>
      <c r="AU80" s="171">
        <f t="shared" si="23"/>
        <v>0.9938934971</v>
      </c>
      <c r="AV80" s="241" t="s">
        <v>472</v>
      </c>
      <c r="AW80" s="91"/>
      <c r="AX80" s="43"/>
      <c r="AY80" s="91"/>
      <c r="AZ80" s="92"/>
      <c r="BA80" s="92"/>
      <c r="BB80" s="92"/>
      <c r="BC80" s="46"/>
      <c r="BD80" s="92"/>
      <c r="BE80" s="47"/>
      <c r="BF80" s="99"/>
      <c r="BG80" s="103"/>
      <c r="BH80" s="99"/>
    </row>
    <row r="81" ht="102.0" customHeight="1">
      <c r="A81" s="50">
        <v>80.0</v>
      </c>
      <c r="B81" s="51">
        <v>2025.0</v>
      </c>
      <c r="C81" s="184" t="s">
        <v>124</v>
      </c>
      <c r="D81" s="185" t="s">
        <v>74</v>
      </c>
      <c r="E81" s="186" t="s">
        <v>75</v>
      </c>
      <c r="F81" s="53" t="s">
        <v>473</v>
      </c>
      <c r="G81" s="184" t="s">
        <v>474</v>
      </c>
      <c r="H81" s="184" t="str">
        <f t="shared" si="21"/>
        <v>SOPETRÁN</v>
      </c>
      <c r="I81" s="184" t="s">
        <v>127</v>
      </c>
      <c r="J81" s="184" t="s">
        <v>475</v>
      </c>
      <c r="K81" s="184" t="s">
        <v>476</v>
      </c>
      <c r="L81" s="184">
        <v>2.0</v>
      </c>
      <c r="M81" s="100">
        <v>500.0</v>
      </c>
      <c r="N81" s="187">
        <v>0.0</v>
      </c>
      <c r="O81" s="113">
        <v>1.75E8</v>
      </c>
      <c r="P81" s="113">
        <v>2.3410981E8</v>
      </c>
      <c r="Q81" s="188">
        <f t="shared" si="2"/>
        <v>409109810</v>
      </c>
      <c r="R81" s="114">
        <v>0.0</v>
      </c>
      <c r="S81" s="189">
        <v>0.0</v>
      </c>
      <c r="T81" s="190">
        <f t="shared" si="3"/>
        <v>409109810</v>
      </c>
      <c r="U81" s="221" t="s">
        <v>64</v>
      </c>
      <c r="V81" s="221" t="s">
        <v>64</v>
      </c>
      <c r="W81" s="192"/>
      <c r="X81" s="193">
        <v>45957.0</v>
      </c>
      <c r="Y81" s="193">
        <v>46018.0</v>
      </c>
      <c r="Z81" s="194">
        <v>0.0</v>
      </c>
      <c r="AA81" s="195">
        <v>0.0</v>
      </c>
      <c r="AB81" s="193">
        <v>46018.0</v>
      </c>
      <c r="AC81" s="66">
        <f t="shared" si="4"/>
        <v>-269</v>
      </c>
      <c r="AD81" s="55"/>
      <c r="AE81" s="55">
        <v>50.0</v>
      </c>
      <c r="AF81" s="55">
        <v>300.0</v>
      </c>
      <c r="AH81" s="95">
        <f t="shared" si="19"/>
        <v>350</v>
      </c>
      <c r="AI81" s="100">
        <v>350.0</v>
      </c>
      <c r="AJ81" s="88">
        <f t="shared" si="17"/>
        <v>0</v>
      </c>
      <c r="AK81" s="187"/>
      <c r="AL81" s="187"/>
      <c r="AM81" s="187"/>
      <c r="AN81" s="187"/>
      <c r="AO81" s="187">
        <v>0.0</v>
      </c>
      <c r="AP81" s="178">
        <v>350.0</v>
      </c>
      <c r="AQ81" s="187">
        <v>0.0</v>
      </c>
      <c r="AR81" s="113">
        <f t="shared" si="20"/>
        <v>175000000</v>
      </c>
      <c r="AS81" s="113">
        <v>1.64081495E8</v>
      </c>
      <c r="AT81" s="198">
        <f t="shared" si="22"/>
        <v>0.7</v>
      </c>
      <c r="AU81" s="198">
        <f t="shared" si="23"/>
        <v>0.9376085429</v>
      </c>
      <c r="AV81" s="242" t="s">
        <v>477</v>
      </c>
      <c r="AW81" s="74"/>
      <c r="AX81" s="75"/>
      <c r="AY81" s="74"/>
      <c r="AZ81" s="76"/>
      <c r="BA81" s="76"/>
      <c r="BB81" s="76"/>
      <c r="BC81" s="77"/>
      <c r="BD81" s="76"/>
      <c r="BE81" s="117"/>
      <c r="BF81" s="199"/>
      <c r="BG81" s="118"/>
      <c r="BH81" s="199"/>
    </row>
    <row r="82" ht="102.0" customHeight="1">
      <c r="A82" s="21">
        <v>81.0</v>
      </c>
      <c r="B82" s="22">
        <v>2025.0</v>
      </c>
      <c r="C82" s="23" t="s">
        <v>124</v>
      </c>
      <c r="D82" s="80" t="s">
        <v>74</v>
      </c>
      <c r="E82" s="172" t="s">
        <v>75</v>
      </c>
      <c r="F82" s="25" t="s">
        <v>478</v>
      </c>
      <c r="G82" s="23" t="s">
        <v>146</v>
      </c>
      <c r="H82" s="23" t="str">
        <f t="shared" si="21"/>
        <v>SANTA FE DE ANTIOQUIA</v>
      </c>
      <c r="I82" s="23" t="s">
        <v>127</v>
      </c>
      <c r="J82" s="23" t="s">
        <v>479</v>
      </c>
      <c r="K82" s="23" t="s">
        <v>480</v>
      </c>
      <c r="L82" s="23">
        <v>2.0</v>
      </c>
      <c r="M82" s="173">
        <v>500.0</v>
      </c>
      <c r="N82" s="162">
        <v>0.0</v>
      </c>
      <c r="O82" s="82">
        <v>1.75E8</v>
      </c>
      <c r="P82" s="82">
        <v>3.25E8</v>
      </c>
      <c r="Q82" s="163">
        <f t="shared" si="2"/>
        <v>500000000</v>
      </c>
      <c r="R82" s="135">
        <v>0.0</v>
      </c>
      <c r="S82" s="164">
        <v>0.0</v>
      </c>
      <c r="T82" s="165">
        <f t="shared" si="3"/>
        <v>500000000</v>
      </c>
      <c r="U82" s="83" t="s">
        <v>64</v>
      </c>
      <c r="V82" s="83" t="s">
        <v>64</v>
      </c>
      <c r="W82" s="175"/>
      <c r="X82" s="176">
        <v>45957.0</v>
      </c>
      <c r="Y82" s="176">
        <v>46018.0</v>
      </c>
      <c r="Z82" s="177">
        <v>0.0</v>
      </c>
      <c r="AA82" s="170">
        <v>0.0</v>
      </c>
      <c r="AB82" s="176">
        <v>46018.0</v>
      </c>
      <c r="AC82" s="38">
        <f t="shared" si="4"/>
        <v>-269</v>
      </c>
      <c r="AD82" s="27"/>
      <c r="AE82" s="27">
        <v>50.0</v>
      </c>
      <c r="AF82" s="27">
        <v>450.0</v>
      </c>
      <c r="AH82" s="95">
        <f t="shared" si="19"/>
        <v>500</v>
      </c>
      <c r="AI82" s="178">
        <v>500.0</v>
      </c>
      <c r="AJ82" s="88">
        <f t="shared" si="17"/>
        <v>0</v>
      </c>
      <c r="AK82" s="162"/>
      <c r="AL82" s="162"/>
      <c r="AM82" s="162"/>
      <c r="AN82" s="162"/>
      <c r="AO82" s="162">
        <v>0.0</v>
      </c>
      <c r="AP82" s="87">
        <v>500.0</v>
      </c>
      <c r="AQ82" s="162">
        <v>0.0</v>
      </c>
      <c r="AR82" s="82">
        <f t="shared" si="20"/>
        <v>175000000</v>
      </c>
      <c r="AS82" s="82">
        <v>1.68075093E8</v>
      </c>
      <c r="AT82" s="171">
        <f t="shared" si="22"/>
        <v>1</v>
      </c>
      <c r="AU82" s="171">
        <f t="shared" si="23"/>
        <v>0.9604291029</v>
      </c>
      <c r="AV82" s="179" t="s">
        <v>481</v>
      </c>
      <c r="AW82" s="91"/>
      <c r="AX82" s="43"/>
      <c r="AY82" s="91"/>
      <c r="AZ82" s="92"/>
      <c r="BA82" s="92"/>
      <c r="BB82" s="92"/>
      <c r="BC82" s="46"/>
      <c r="BD82" s="92"/>
      <c r="BE82" s="47"/>
      <c r="BF82" s="99"/>
      <c r="BG82" s="103"/>
      <c r="BH82" s="99"/>
    </row>
    <row r="83" ht="102.0" customHeight="1">
      <c r="A83" s="21">
        <v>82.0</v>
      </c>
      <c r="B83" s="28">
        <v>2025.0</v>
      </c>
      <c r="C83" s="120" t="s">
        <v>482</v>
      </c>
      <c r="D83" s="24" t="s">
        <v>74</v>
      </c>
      <c r="E83" s="172" t="s">
        <v>59</v>
      </c>
      <c r="F83" s="121">
        <v>4.600018194E9</v>
      </c>
      <c r="G83" s="172" t="s">
        <v>483</v>
      </c>
      <c r="H83" s="172" t="s">
        <v>483</v>
      </c>
      <c r="I83" s="172" t="s">
        <v>78</v>
      </c>
      <c r="J83" s="23" t="s">
        <v>484</v>
      </c>
      <c r="K83" s="172" t="s">
        <v>485</v>
      </c>
      <c r="L83" s="23">
        <v>4.2</v>
      </c>
      <c r="M83" s="173">
        <v>132.0</v>
      </c>
      <c r="N83" s="162">
        <v>0.0</v>
      </c>
      <c r="O83" s="105">
        <v>2.1475028E8</v>
      </c>
      <c r="P83" s="105">
        <v>2.09509678E8</v>
      </c>
      <c r="Q83" s="163">
        <f t="shared" si="2"/>
        <v>424259958</v>
      </c>
      <c r="R83" s="164">
        <v>0.0</v>
      </c>
      <c r="S83" s="164">
        <v>0.0</v>
      </c>
      <c r="T83" s="165">
        <f t="shared" si="3"/>
        <v>424259958</v>
      </c>
      <c r="U83" s="174" t="s">
        <v>64</v>
      </c>
      <c r="V83" s="174" t="s">
        <v>64</v>
      </c>
      <c r="W83" s="175"/>
      <c r="X83" s="243">
        <v>45894.0</v>
      </c>
      <c r="Y83" s="243">
        <v>46022.0</v>
      </c>
      <c r="Z83" s="169">
        <v>0.0</v>
      </c>
      <c r="AA83" s="170">
        <v>0.0</v>
      </c>
      <c r="AB83" s="243">
        <v>46022.0</v>
      </c>
      <c r="AC83" s="38">
        <f t="shared" si="4"/>
        <v>-265</v>
      </c>
      <c r="AD83" s="27"/>
      <c r="AE83" s="27"/>
      <c r="AF83" s="27">
        <v>132.0</v>
      </c>
      <c r="AG83" s="27"/>
      <c r="AH83" s="95">
        <f t="shared" si="19"/>
        <v>132</v>
      </c>
      <c r="AI83" s="178">
        <v>132.0</v>
      </c>
      <c r="AJ83" s="88">
        <f t="shared" si="17"/>
        <v>0</v>
      </c>
      <c r="AK83" s="162"/>
      <c r="AL83" s="162"/>
      <c r="AM83" s="162"/>
      <c r="AN83" s="162"/>
      <c r="AO83" s="162">
        <v>0.0</v>
      </c>
      <c r="AP83" s="178">
        <v>132.0</v>
      </c>
      <c r="AQ83" s="162">
        <v>0.0</v>
      </c>
      <c r="AR83" s="105">
        <v>2.1475028E8</v>
      </c>
      <c r="AS83" s="105">
        <v>2.1475028E8</v>
      </c>
      <c r="AT83" s="171">
        <f t="shared" si="22"/>
        <v>1</v>
      </c>
      <c r="AU83" s="171">
        <f t="shared" si="23"/>
        <v>1</v>
      </c>
      <c r="AV83" s="103" t="s">
        <v>486</v>
      </c>
      <c r="AW83" s="91"/>
      <c r="AX83" s="43"/>
      <c r="AY83" s="91"/>
      <c r="AZ83" s="92"/>
      <c r="BA83" s="92"/>
      <c r="BB83" s="92"/>
      <c r="BC83" s="46"/>
      <c r="BD83" s="92"/>
      <c r="BE83" s="47"/>
      <c r="BF83" s="93"/>
      <c r="BG83" s="103"/>
      <c r="BH83" s="99"/>
    </row>
    <row r="84" ht="102.0" customHeight="1">
      <c r="A84" s="50">
        <v>83.0</v>
      </c>
      <c r="B84" s="56">
        <v>2025.0</v>
      </c>
      <c r="C84" s="120" t="s">
        <v>150</v>
      </c>
      <c r="D84" s="52" t="s">
        <v>324</v>
      </c>
      <c r="E84" s="184" t="s">
        <v>59</v>
      </c>
      <c r="F84" s="244">
        <v>4.600018676E9</v>
      </c>
      <c r="G84" s="186" t="s">
        <v>487</v>
      </c>
      <c r="H84" s="186" t="s">
        <v>487</v>
      </c>
      <c r="I84" s="186" t="s">
        <v>78</v>
      </c>
      <c r="J84" s="186" t="s">
        <v>488</v>
      </c>
      <c r="K84" s="186" t="s">
        <v>489</v>
      </c>
      <c r="L84" s="186">
        <v>3.0</v>
      </c>
      <c r="M84" s="245">
        <v>0.0</v>
      </c>
      <c r="N84" s="246">
        <v>136.64</v>
      </c>
      <c r="O84" s="247">
        <v>3.0E8</v>
      </c>
      <c r="P84" s="247">
        <v>3.7871221E7</v>
      </c>
      <c r="Q84" s="188">
        <f t="shared" si="2"/>
        <v>337871221</v>
      </c>
      <c r="R84" s="189">
        <v>0.0</v>
      </c>
      <c r="S84" s="189">
        <v>0.0</v>
      </c>
      <c r="T84" s="190">
        <f t="shared" si="3"/>
        <v>337871221</v>
      </c>
      <c r="U84" s="221" t="s">
        <v>64</v>
      </c>
      <c r="V84" s="221" t="s">
        <v>64</v>
      </c>
      <c r="W84" s="248"/>
      <c r="X84" s="248">
        <v>46000.0</v>
      </c>
      <c r="Y84" s="248">
        <v>46090.0</v>
      </c>
      <c r="Z84" s="206">
        <v>0.0</v>
      </c>
      <c r="AA84" s="195">
        <v>1.0</v>
      </c>
      <c r="AB84" s="248">
        <v>46122.0</v>
      </c>
      <c r="AC84" s="66">
        <f t="shared" si="4"/>
        <v>-165</v>
      </c>
      <c r="AD84" s="249"/>
      <c r="AE84" s="249"/>
      <c r="AF84" s="249"/>
      <c r="AH84" s="39" t="str">
        <f>AD84+#REF!+AE84+AF84</f>
        <v>#REF!</v>
      </c>
      <c r="AI84" s="250">
        <v>0.0</v>
      </c>
      <c r="AJ84" s="201"/>
      <c r="AK84" s="201"/>
      <c r="AL84" s="201"/>
      <c r="AM84" s="201"/>
      <c r="AN84" s="201"/>
      <c r="AO84" s="201">
        <v>136.64</v>
      </c>
      <c r="AP84" s="251">
        <v>0.0</v>
      </c>
      <c r="AQ84" s="201">
        <v>136.64</v>
      </c>
      <c r="AR84" s="247">
        <v>3.0E8</v>
      </c>
      <c r="AS84" s="247">
        <v>0.0</v>
      </c>
      <c r="AT84" s="252">
        <f>AQ84/N84</f>
        <v>1</v>
      </c>
      <c r="AU84" s="224">
        <f t="shared" si="23"/>
        <v>0</v>
      </c>
      <c r="AV84" s="184" t="s">
        <v>490</v>
      </c>
      <c r="AW84" s="74"/>
      <c r="AX84" s="75"/>
      <c r="AY84" s="74"/>
      <c r="AZ84" s="76"/>
      <c r="BA84" s="76"/>
      <c r="BB84" s="76"/>
      <c r="BC84" s="77"/>
      <c r="BD84" s="76"/>
      <c r="BE84" s="117"/>
      <c r="BF84" s="199"/>
      <c r="BG84" s="118"/>
      <c r="BH84" s="199"/>
    </row>
    <row r="85" ht="102.0" customHeight="1">
      <c r="A85" s="21">
        <v>84.0</v>
      </c>
      <c r="B85" s="22">
        <v>2025.0</v>
      </c>
      <c r="C85" s="23" t="s">
        <v>171</v>
      </c>
      <c r="D85" s="80" t="s">
        <v>74</v>
      </c>
      <c r="E85" s="172" t="s">
        <v>75</v>
      </c>
      <c r="F85" s="25" t="s">
        <v>491</v>
      </c>
      <c r="G85" s="23" t="s">
        <v>492</v>
      </c>
      <c r="H85" s="23" t="str">
        <f t="shared" ref="H85:H96" si="24">G85</f>
        <v>YARUMAL</v>
      </c>
      <c r="I85" s="23" t="s">
        <v>174</v>
      </c>
      <c r="J85" s="23" t="s">
        <v>493</v>
      </c>
      <c r="K85" s="23" t="s">
        <v>494</v>
      </c>
      <c r="L85" s="23">
        <v>8.0</v>
      </c>
      <c r="M85" s="173">
        <v>1000.0</v>
      </c>
      <c r="N85" s="162">
        <v>0.0</v>
      </c>
      <c r="O85" s="82">
        <v>3.22264852E8</v>
      </c>
      <c r="P85" s="82">
        <v>4.41008851E8</v>
      </c>
      <c r="Q85" s="163">
        <f t="shared" si="2"/>
        <v>763273703</v>
      </c>
      <c r="R85" s="164">
        <v>0.0</v>
      </c>
      <c r="S85" s="164">
        <v>0.0</v>
      </c>
      <c r="T85" s="165">
        <f t="shared" si="3"/>
        <v>763273703</v>
      </c>
      <c r="U85" s="174" t="s">
        <v>64</v>
      </c>
      <c r="V85" s="174" t="s">
        <v>64</v>
      </c>
      <c r="W85" s="175"/>
      <c r="X85" s="176">
        <v>45708.0</v>
      </c>
      <c r="Y85" s="176">
        <v>45950.0</v>
      </c>
      <c r="Z85" s="177">
        <v>0.0</v>
      </c>
      <c r="AA85" s="170">
        <v>0.0</v>
      </c>
      <c r="AB85" s="176">
        <v>45950.0</v>
      </c>
      <c r="AC85" s="38">
        <f t="shared" si="4"/>
        <v>-337</v>
      </c>
      <c r="AD85" s="27"/>
      <c r="AE85" s="27">
        <v>1000.0</v>
      </c>
      <c r="AF85" s="27"/>
      <c r="AG85" s="27"/>
      <c r="AH85" s="95">
        <f t="shared" ref="AH85:AH96" si="25">AD85+AE85+AF85+AG85</f>
        <v>1000</v>
      </c>
      <c r="AI85" s="87">
        <v>1000.0</v>
      </c>
      <c r="AJ85" s="88">
        <f t="shared" ref="AJ85:AJ144" si="26">AH85-AI85</f>
        <v>0</v>
      </c>
      <c r="AK85" s="162"/>
      <c r="AL85" s="162"/>
      <c r="AM85" s="162"/>
      <c r="AN85" s="162"/>
      <c r="AO85" s="162">
        <v>0.0</v>
      </c>
      <c r="AP85" s="178">
        <v>1000.0</v>
      </c>
      <c r="AQ85" s="162">
        <v>0.0</v>
      </c>
      <c r="AR85" s="82">
        <f t="shared" ref="AR85:AR96" si="27">O85</f>
        <v>322264852</v>
      </c>
      <c r="AS85" s="82">
        <v>2.98240599E8</v>
      </c>
      <c r="AT85" s="238">
        <f t="shared" ref="AT85:AT121" si="28">AP85/M85</f>
        <v>1</v>
      </c>
      <c r="AU85" s="238">
        <f t="shared" si="23"/>
        <v>0.9254518361</v>
      </c>
      <c r="AV85" s="233" t="s">
        <v>495</v>
      </c>
      <c r="AW85" s="91"/>
      <c r="AX85" s="43"/>
      <c r="AY85" s="91"/>
      <c r="AZ85" s="92"/>
      <c r="BA85" s="92"/>
      <c r="BB85" s="92"/>
      <c r="BC85" s="46"/>
      <c r="BD85" s="92"/>
      <c r="BE85" s="47"/>
      <c r="BF85" s="99"/>
      <c r="BG85" s="103"/>
      <c r="BH85" s="99"/>
    </row>
    <row r="86" ht="102.0" customHeight="1">
      <c r="A86" s="21">
        <v>85.0</v>
      </c>
      <c r="B86" s="22">
        <v>2025.0</v>
      </c>
      <c r="C86" s="23" t="s">
        <v>205</v>
      </c>
      <c r="D86" s="80" t="s">
        <v>74</v>
      </c>
      <c r="E86" s="23" t="s">
        <v>59</v>
      </c>
      <c r="F86" s="25">
        <v>4.600017869E9</v>
      </c>
      <c r="G86" s="23" t="s">
        <v>201</v>
      </c>
      <c r="H86" s="23" t="str">
        <f t="shared" si="24"/>
        <v>ALEJANDRÍA</v>
      </c>
      <c r="I86" s="23" t="s">
        <v>120</v>
      </c>
      <c r="J86" s="23" t="s">
        <v>496</v>
      </c>
      <c r="K86" s="23" t="s">
        <v>497</v>
      </c>
      <c r="L86" s="23">
        <v>6.0</v>
      </c>
      <c r="M86" s="173">
        <v>750.0</v>
      </c>
      <c r="N86" s="162">
        <v>0.0</v>
      </c>
      <c r="O86" s="82">
        <v>1.640831632E9</v>
      </c>
      <c r="P86" s="82">
        <v>4.10207908E8</v>
      </c>
      <c r="Q86" s="163">
        <f t="shared" si="2"/>
        <v>2051039540</v>
      </c>
      <c r="R86" s="164">
        <v>0.0</v>
      </c>
      <c r="S86" s="164">
        <v>0.0</v>
      </c>
      <c r="T86" s="165">
        <f t="shared" si="3"/>
        <v>2051039540</v>
      </c>
      <c r="U86" s="174" t="s">
        <v>64</v>
      </c>
      <c r="V86" s="174" t="s">
        <v>64</v>
      </c>
      <c r="W86" s="175"/>
      <c r="X86" s="176">
        <v>45777.0</v>
      </c>
      <c r="Y86" s="176">
        <v>45960.0</v>
      </c>
      <c r="Z86" s="177">
        <v>0.0</v>
      </c>
      <c r="AA86" s="170">
        <v>0.0</v>
      </c>
      <c r="AB86" s="176">
        <v>45960.0</v>
      </c>
      <c r="AC86" s="38">
        <f t="shared" si="4"/>
        <v>-327</v>
      </c>
      <c r="AD86" s="27"/>
      <c r="AE86" s="27">
        <v>675.0</v>
      </c>
      <c r="AF86" s="27">
        <v>75.0</v>
      </c>
      <c r="AH86" s="95">
        <f t="shared" si="25"/>
        <v>750</v>
      </c>
      <c r="AI86" s="178">
        <v>750.0</v>
      </c>
      <c r="AJ86" s="88">
        <f t="shared" si="26"/>
        <v>0</v>
      </c>
      <c r="AK86" s="162"/>
      <c r="AL86" s="162"/>
      <c r="AM86" s="162"/>
      <c r="AN86" s="162"/>
      <c r="AO86" s="162">
        <v>0.0</v>
      </c>
      <c r="AP86" s="87">
        <v>750.0</v>
      </c>
      <c r="AQ86" s="162">
        <v>0.0</v>
      </c>
      <c r="AR86" s="82">
        <f t="shared" si="27"/>
        <v>1640831632</v>
      </c>
      <c r="AS86" s="82">
        <v>1.640831632E9</v>
      </c>
      <c r="AT86" s="171">
        <f t="shared" si="28"/>
        <v>1</v>
      </c>
      <c r="AU86" s="171">
        <f t="shared" si="23"/>
        <v>1</v>
      </c>
      <c r="AV86" s="23" t="s">
        <v>498</v>
      </c>
      <c r="AW86" s="91"/>
      <c r="AX86" s="43"/>
      <c r="AY86" s="91"/>
      <c r="AZ86" s="92"/>
      <c r="BA86" s="92"/>
      <c r="BB86" s="92"/>
      <c r="BC86" s="46"/>
      <c r="BD86" s="92"/>
      <c r="BE86" s="47"/>
      <c r="BF86" s="99"/>
      <c r="BG86" s="103"/>
      <c r="BH86" s="99"/>
    </row>
    <row r="87" ht="102.0" customHeight="1">
      <c r="A87" s="50">
        <v>86.0</v>
      </c>
      <c r="B87" s="51">
        <v>2025.0</v>
      </c>
      <c r="C87" s="184" t="s">
        <v>205</v>
      </c>
      <c r="D87" s="185" t="s">
        <v>74</v>
      </c>
      <c r="E87" s="186" t="s">
        <v>75</v>
      </c>
      <c r="F87" s="53" t="s">
        <v>499</v>
      </c>
      <c r="G87" s="184" t="s">
        <v>500</v>
      </c>
      <c r="H87" s="184" t="str">
        <f t="shared" si="24"/>
        <v>EL CARMEN DE VIBORAL</v>
      </c>
      <c r="I87" s="184" t="s">
        <v>120</v>
      </c>
      <c r="J87" s="184" t="s">
        <v>501</v>
      </c>
      <c r="K87" s="184" t="s">
        <v>502</v>
      </c>
      <c r="L87" s="184">
        <v>6.0</v>
      </c>
      <c r="M87" s="100">
        <v>500.0</v>
      </c>
      <c r="N87" s="187">
        <v>0.0</v>
      </c>
      <c r="O87" s="113">
        <v>1.75E8</v>
      </c>
      <c r="P87" s="113">
        <v>3.8E8</v>
      </c>
      <c r="Q87" s="188">
        <f t="shared" si="2"/>
        <v>555000000</v>
      </c>
      <c r="R87" s="189">
        <v>0.0</v>
      </c>
      <c r="S87" s="189">
        <v>0.0</v>
      </c>
      <c r="T87" s="190">
        <f t="shared" si="3"/>
        <v>555000000</v>
      </c>
      <c r="U87" s="191" t="s">
        <v>64</v>
      </c>
      <c r="V87" s="191" t="s">
        <v>64</v>
      </c>
      <c r="W87" s="192"/>
      <c r="X87" s="193">
        <v>45800.0</v>
      </c>
      <c r="Y87" s="193">
        <v>45984.0</v>
      </c>
      <c r="Z87" s="194">
        <v>0.0</v>
      </c>
      <c r="AA87" s="195">
        <v>0.0</v>
      </c>
      <c r="AB87" s="193">
        <v>45984.0</v>
      </c>
      <c r="AC87" s="66">
        <f t="shared" si="4"/>
        <v>-303</v>
      </c>
      <c r="AD87" s="27"/>
      <c r="AE87" s="27">
        <v>500.0</v>
      </c>
      <c r="AF87" s="27"/>
      <c r="AG87" s="27"/>
      <c r="AH87" s="95">
        <f t="shared" si="25"/>
        <v>500</v>
      </c>
      <c r="AI87" s="178">
        <v>500.0</v>
      </c>
      <c r="AJ87" s="88">
        <f t="shared" si="26"/>
        <v>0</v>
      </c>
      <c r="AK87" s="187"/>
      <c r="AL87" s="187"/>
      <c r="AM87" s="187"/>
      <c r="AN87" s="187"/>
      <c r="AO87" s="187">
        <v>0.0</v>
      </c>
      <c r="AP87" s="178">
        <v>500.0</v>
      </c>
      <c r="AQ87" s="187">
        <v>0.0</v>
      </c>
      <c r="AR87" s="113">
        <f t="shared" si="27"/>
        <v>175000000</v>
      </c>
      <c r="AS87" s="113">
        <v>1.59305223E8</v>
      </c>
      <c r="AT87" s="198">
        <f t="shared" si="28"/>
        <v>1</v>
      </c>
      <c r="AU87" s="198">
        <f t="shared" si="23"/>
        <v>0.91031556</v>
      </c>
      <c r="AV87" s="179" t="s">
        <v>503</v>
      </c>
      <c r="AW87" s="74"/>
      <c r="AX87" s="75"/>
      <c r="AY87" s="74"/>
      <c r="AZ87" s="76"/>
      <c r="BA87" s="76"/>
      <c r="BB87" s="76"/>
      <c r="BC87" s="77"/>
      <c r="BD87" s="76"/>
      <c r="BE87" s="117"/>
      <c r="BF87" s="199"/>
      <c r="BG87" s="118"/>
      <c r="BH87" s="199"/>
    </row>
    <row r="88" ht="102.0" customHeight="1">
      <c r="A88" s="21">
        <v>87.0</v>
      </c>
      <c r="B88" s="22">
        <v>2025.0</v>
      </c>
      <c r="C88" s="23" t="s">
        <v>205</v>
      </c>
      <c r="D88" s="80" t="s">
        <v>74</v>
      </c>
      <c r="E88" s="172" t="s">
        <v>75</v>
      </c>
      <c r="F88" s="25" t="s">
        <v>504</v>
      </c>
      <c r="G88" s="23" t="s">
        <v>226</v>
      </c>
      <c r="H88" s="23" t="str">
        <f t="shared" si="24"/>
        <v>RIONEGRO</v>
      </c>
      <c r="I88" s="23" t="s">
        <v>120</v>
      </c>
      <c r="J88" s="23" t="s">
        <v>505</v>
      </c>
      <c r="K88" s="23" t="s">
        <v>506</v>
      </c>
      <c r="L88" s="23">
        <v>4.0</v>
      </c>
      <c r="M88" s="173">
        <v>1681.0</v>
      </c>
      <c r="N88" s="162">
        <v>0.0</v>
      </c>
      <c r="O88" s="82">
        <v>5.8835E8</v>
      </c>
      <c r="P88" s="82">
        <v>0.0</v>
      </c>
      <c r="Q88" s="163">
        <f t="shared" si="2"/>
        <v>588350000</v>
      </c>
      <c r="R88" s="164">
        <v>0.0</v>
      </c>
      <c r="S88" s="164">
        <v>0.0</v>
      </c>
      <c r="T88" s="165">
        <f t="shared" si="3"/>
        <v>588350000</v>
      </c>
      <c r="U88" s="174" t="s">
        <v>64</v>
      </c>
      <c r="V88" s="83" t="s">
        <v>387</v>
      </c>
      <c r="W88" s="175"/>
      <c r="X88" s="176">
        <v>45882.0</v>
      </c>
      <c r="Y88" s="176">
        <v>46022.0</v>
      </c>
      <c r="Z88" s="177">
        <v>0.0</v>
      </c>
      <c r="AA88" s="170">
        <v>0.0</v>
      </c>
      <c r="AB88" s="176">
        <v>46022.0</v>
      </c>
      <c r="AC88" s="38">
        <f t="shared" si="4"/>
        <v>-265</v>
      </c>
      <c r="AD88" s="27"/>
      <c r="AE88" s="81">
        <v>1345.0</v>
      </c>
      <c r="AF88" s="81">
        <v>336.0</v>
      </c>
      <c r="AH88" s="95">
        <f t="shared" si="25"/>
        <v>1681</v>
      </c>
      <c r="AI88" s="197">
        <v>1681.0</v>
      </c>
      <c r="AJ88" s="88">
        <f t="shared" si="26"/>
        <v>0</v>
      </c>
      <c r="AK88" s="162"/>
      <c r="AL88" s="162"/>
      <c r="AM88" s="162"/>
      <c r="AN88" s="162"/>
      <c r="AO88" s="162">
        <v>0.0</v>
      </c>
      <c r="AP88" s="87">
        <v>1681.0</v>
      </c>
      <c r="AQ88" s="162">
        <v>0.0</v>
      </c>
      <c r="AR88" s="82">
        <f t="shared" si="27"/>
        <v>588350000</v>
      </c>
      <c r="AS88" s="82">
        <v>5.81998586E8</v>
      </c>
      <c r="AT88" s="171">
        <f t="shared" si="28"/>
        <v>1</v>
      </c>
      <c r="AU88" s="171">
        <f t="shared" si="23"/>
        <v>0.9892047013</v>
      </c>
      <c r="AV88" s="120" t="s">
        <v>507</v>
      </c>
      <c r="AW88" s="91"/>
      <c r="AX88" s="43"/>
      <c r="AY88" s="91"/>
      <c r="AZ88" s="92"/>
      <c r="BA88" s="92"/>
      <c r="BB88" s="92"/>
      <c r="BC88" s="46"/>
      <c r="BD88" s="92"/>
      <c r="BE88" s="47"/>
      <c r="BF88" s="99"/>
      <c r="BG88" s="103"/>
      <c r="BH88" s="99"/>
    </row>
    <row r="89" ht="102.0" customHeight="1">
      <c r="A89" s="21">
        <v>88.0</v>
      </c>
      <c r="B89" s="22">
        <v>2025.0</v>
      </c>
      <c r="C89" s="23" t="s">
        <v>205</v>
      </c>
      <c r="D89" s="80" t="s">
        <v>74</v>
      </c>
      <c r="E89" s="172" t="s">
        <v>75</v>
      </c>
      <c r="F89" s="25" t="s">
        <v>508</v>
      </c>
      <c r="G89" s="23" t="s">
        <v>201</v>
      </c>
      <c r="H89" s="23" t="str">
        <f t="shared" si="24"/>
        <v>ALEJANDRÍA</v>
      </c>
      <c r="I89" s="23" t="s">
        <v>120</v>
      </c>
      <c r="J89" s="23" t="s">
        <v>509</v>
      </c>
      <c r="K89" s="23" t="s">
        <v>510</v>
      </c>
      <c r="L89" s="23">
        <v>1.5</v>
      </c>
      <c r="M89" s="173">
        <v>300.0</v>
      </c>
      <c r="N89" s="162">
        <v>0.0</v>
      </c>
      <c r="O89" s="82">
        <v>1.05E8</v>
      </c>
      <c r="P89" s="82">
        <v>2.92159565E8</v>
      </c>
      <c r="Q89" s="163">
        <f t="shared" si="2"/>
        <v>397159565</v>
      </c>
      <c r="R89" s="135">
        <v>0.0</v>
      </c>
      <c r="S89" s="164">
        <v>0.0</v>
      </c>
      <c r="T89" s="165">
        <f t="shared" si="3"/>
        <v>397159565</v>
      </c>
      <c r="U89" s="83" t="s">
        <v>64</v>
      </c>
      <c r="V89" s="83" t="s">
        <v>64</v>
      </c>
      <c r="W89" s="175"/>
      <c r="X89" s="176">
        <v>45965.0</v>
      </c>
      <c r="Y89" s="176">
        <v>46021.0</v>
      </c>
      <c r="Z89" s="177">
        <v>0.0</v>
      </c>
      <c r="AA89" s="170">
        <v>0.0</v>
      </c>
      <c r="AB89" s="176">
        <v>46021.0</v>
      </c>
      <c r="AC89" s="38">
        <f t="shared" si="4"/>
        <v>-266</v>
      </c>
      <c r="AD89" s="27"/>
      <c r="AE89" s="27">
        <v>30.0</v>
      </c>
      <c r="AF89" s="27">
        <v>270.0</v>
      </c>
      <c r="AH89" s="95">
        <f t="shared" si="25"/>
        <v>300</v>
      </c>
      <c r="AI89" s="178">
        <v>300.0</v>
      </c>
      <c r="AJ89" s="88">
        <f t="shared" si="26"/>
        <v>0</v>
      </c>
      <c r="AK89" s="162"/>
      <c r="AL89" s="162"/>
      <c r="AM89" s="162"/>
      <c r="AN89" s="162"/>
      <c r="AO89" s="162">
        <v>0.0</v>
      </c>
      <c r="AP89" s="87">
        <v>300.0</v>
      </c>
      <c r="AQ89" s="162">
        <v>0.0</v>
      </c>
      <c r="AR89" s="82">
        <f t="shared" si="27"/>
        <v>105000000</v>
      </c>
      <c r="AS89" s="82">
        <v>9.8622781E7</v>
      </c>
      <c r="AT89" s="171">
        <f t="shared" si="28"/>
        <v>1</v>
      </c>
      <c r="AU89" s="171">
        <f t="shared" si="23"/>
        <v>0.939264581</v>
      </c>
      <c r="AV89" s="233" t="s">
        <v>511</v>
      </c>
      <c r="AW89" s="91"/>
      <c r="AX89" s="43"/>
      <c r="AY89" s="91"/>
      <c r="AZ89" s="92"/>
      <c r="BA89" s="92"/>
      <c r="BB89" s="92"/>
      <c r="BC89" s="46"/>
      <c r="BD89" s="92"/>
      <c r="BE89" s="47"/>
      <c r="BF89" s="99"/>
      <c r="BG89" s="103"/>
      <c r="BH89" s="99"/>
    </row>
    <row r="90" ht="102.0" customHeight="1">
      <c r="A90" s="21">
        <v>89.0</v>
      </c>
      <c r="B90" s="22">
        <v>2025.0</v>
      </c>
      <c r="C90" s="23" t="s">
        <v>205</v>
      </c>
      <c r="D90" s="80" t="s">
        <v>74</v>
      </c>
      <c r="E90" s="172" t="s">
        <v>75</v>
      </c>
      <c r="F90" s="25" t="s">
        <v>512</v>
      </c>
      <c r="G90" s="23" t="s">
        <v>217</v>
      </c>
      <c r="H90" s="23" t="str">
        <f t="shared" si="24"/>
        <v>MARINILLA</v>
      </c>
      <c r="I90" s="23" t="s">
        <v>120</v>
      </c>
      <c r="J90" s="23" t="s">
        <v>513</v>
      </c>
      <c r="K90" s="23" t="s">
        <v>514</v>
      </c>
      <c r="L90" s="23">
        <v>2.0</v>
      </c>
      <c r="M90" s="173">
        <v>500.0</v>
      </c>
      <c r="N90" s="162">
        <v>0.0</v>
      </c>
      <c r="O90" s="82">
        <v>1.75E8</v>
      </c>
      <c r="P90" s="82">
        <v>3.34551431E8</v>
      </c>
      <c r="Q90" s="163">
        <f t="shared" si="2"/>
        <v>509551431</v>
      </c>
      <c r="R90" s="135">
        <v>0.0</v>
      </c>
      <c r="S90" s="164">
        <v>0.0</v>
      </c>
      <c r="T90" s="165">
        <f t="shared" si="3"/>
        <v>509551431</v>
      </c>
      <c r="U90" s="83" t="s">
        <v>64</v>
      </c>
      <c r="V90" s="83" t="s">
        <v>64</v>
      </c>
      <c r="W90" s="175"/>
      <c r="X90" s="176">
        <v>45961.0</v>
      </c>
      <c r="Y90" s="176">
        <v>46021.0</v>
      </c>
      <c r="Z90" s="177">
        <v>0.0</v>
      </c>
      <c r="AA90" s="170">
        <v>0.0</v>
      </c>
      <c r="AB90" s="176">
        <v>46021.0</v>
      </c>
      <c r="AC90" s="38">
        <f t="shared" si="4"/>
        <v>-266</v>
      </c>
      <c r="AD90" s="27"/>
      <c r="AE90" s="27">
        <v>50.0</v>
      </c>
      <c r="AF90" s="27">
        <v>450.0</v>
      </c>
      <c r="AH90" s="95">
        <f t="shared" si="25"/>
        <v>500</v>
      </c>
      <c r="AI90" s="178">
        <v>500.0</v>
      </c>
      <c r="AJ90" s="88">
        <f t="shared" si="26"/>
        <v>0</v>
      </c>
      <c r="AK90" s="162"/>
      <c r="AL90" s="162"/>
      <c r="AM90" s="162"/>
      <c r="AN90" s="162"/>
      <c r="AO90" s="162">
        <v>0.0</v>
      </c>
      <c r="AP90" s="87">
        <v>500.0</v>
      </c>
      <c r="AQ90" s="162">
        <v>0.0</v>
      </c>
      <c r="AR90" s="82">
        <f t="shared" si="27"/>
        <v>175000000</v>
      </c>
      <c r="AS90" s="82">
        <v>1.74916052E8</v>
      </c>
      <c r="AT90" s="171">
        <f t="shared" si="28"/>
        <v>1</v>
      </c>
      <c r="AU90" s="171">
        <f t="shared" si="23"/>
        <v>0.9995202971</v>
      </c>
      <c r="AV90" s="179" t="s">
        <v>515</v>
      </c>
      <c r="AW90" s="91"/>
      <c r="AX90" s="43"/>
      <c r="AY90" s="91"/>
      <c r="AZ90" s="92"/>
      <c r="BA90" s="92"/>
      <c r="BB90" s="92"/>
      <c r="BC90" s="46"/>
      <c r="BD90" s="92"/>
      <c r="BE90" s="47"/>
      <c r="BF90" s="99"/>
      <c r="BG90" s="103"/>
      <c r="BH90" s="99"/>
    </row>
    <row r="91" ht="102.0" customHeight="1">
      <c r="A91" s="21">
        <v>90.0</v>
      </c>
      <c r="B91" s="22">
        <v>2025.0</v>
      </c>
      <c r="C91" s="23" t="s">
        <v>234</v>
      </c>
      <c r="D91" s="80" t="s">
        <v>74</v>
      </c>
      <c r="E91" s="172" t="s">
        <v>75</v>
      </c>
      <c r="F91" s="25" t="s">
        <v>516</v>
      </c>
      <c r="G91" s="23" t="s">
        <v>517</v>
      </c>
      <c r="H91" s="23" t="str">
        <f t="shared" si="24"/>
        <v>FRONTINO</v>
      </c>
      <c r="I91" s="23" t="s">
        <v>127</v>
      </c>
      <c r="J91" s="23" t="s">
        <v>518</v>
      </c>
      <c r="K91" s="23" t="s">
        <v>519</v>
      </c>
      <c r="L91" s="23">
        <v>2.0</v>
      </c>
      <c r="M91" s="173">
        <v>200.0</v>
      </c>
      <c r="N91" s="162">
        <v>0.0</v>
      </c>
      <c r="O91" s="82">
        <v>7.0E7</v>
      </c>
      <c r="P91" s="82">
        <f>SUM(4040897+132681720+19805073)</f>
        <v>156527690</v>
      </c>
      <c r="Q91" s="163">
        <f t="shared" si="2"/>
        <v>226527690</v>
      </c>
      <c r="R91" s="135">
        <v>0.0</v>
      </c>
      <c r="S91" s="164">
        <v>0.0</v>
      </c>
      <c r="T91" s="165">
        <f t="shared" si="3"/>
        <v>226527690</v>
      </c>
      <c r="U91" s="83" t="s">
        <v>64</v>
      </c>
      <c r="V91" s="83" t="s">
        <v>64</v>
      </c>
      <c r="W91" s="175"/>
      <c r="X91" s="176">
        <v>45960.0</v>
      </c>
      <c r="Y91" s="176">
        <v>46021.0</v>
      </c>
      <c r="Z91" s="177">
        <v>0.0</v>
      </c>
      <c r="AA91" s="170">
        <v>0.0</v>
      </c>
      <c r="AB91" s="176">
        <v>46021.0</v>
      </c>
      <c r="AC91" s="38">
        <f t="shared" si="4"/>
        <v>-266</v>
      </c>
      <c r="AD91" s="27"/>
      <c r="AE91" s="27"/>
      <c r="AF91" s="27">
        <v>200.0</v>
      </c>
      <c r="AH91" s="95">
        <f t="shared" si="25"/>
        <v>200</v>
      </c>
      <c r="AI91" s="178">
        <v>200.0</v>
      </c>
      <c r="AJ91" s="88">
        <f t="shared" si="26"/>
        <v>0</v>
      </c>
      <c r="AK91" s="162"/>
      <c r="AL91" s="162"/>
      <c r="AM91" s="162"/>
      <c r="AN91" s="162"/>
      <c r="AO91" s="162">
        <v>0.0</v>
      </c>
      <c r="AP91" s="87">
        <v>200.0</v>
      </c>
      <c r="AQ91" s="162">
        <v>0.0</v>
      </c>
      <c r="AR91" s="82">
        <f t="shared" si="27"/>
        <v>70000000</v>
      </c>
      <c r="AS91" s="82">
        <v>4.176283E7</v>
      </c>
      <c r="AT91" s="171">
        <f t="shared" si="28"/>
        <v>1</v>
      </c>
      <c r="AU91" s="171">
        <f t="shared" si="23"/>
        <v>0.5966118571</v>
      </c>
      <c r="AV91" s="97" t="s">
        <v>520</v>
      </c>
      <c r="AW91" s="91"/>
      <c r="AX91" s="43"/>
      <c r="AY91" s="91"/>
      <c r="AZ91" s="92"/>
      <c r="BA91" s="92"/>
      <c r="BB91" s="92"/>
      <c r="BC91" s="46"/>
      <c r="BD91" s="92"/>
      <c r="BE91" s="47"/>
      <c r="BF91" s="99"/>
      <c r="BG91" s="103"/>
      <c r="BH91" s="99"/>
    </row>
    <row r="92" ht="102.0" customHeight="1">
      <c r="A92" s="21">
        <v>91.0</v>
      </c>
      <c r="B92" s="22">
        <v>2025.0</v>
      </c>
      <c r="C92" s="23" t="s">
        <v>234</v>
      </c>
      <c r="D92" s="80" t="s">
        <v>74</v>
      </c>
      <c r="E92" s="172" t="s">
        <v>75</v>
      </c>
      <c r="F92" s="25" t="s">
        <v>521</v>
      </c>
      <c r="G92" s="23" t="s">
        <v>522</v>
      </c>
      <c r="H92" s="23" t="str">
        <f t="shared" si="24"/>
        <v>PEQUE</v>
      </c>
      <c r="I92" s="23" t="s">
        <v>127</v>
      </c>
      <c r="J92" s="23" t="s">
        <v>523</v>
      </c>
      <c r="K92" s="23" t="s">
        <v>524</v>
      </c>
      <c r="L92" s="23">
        <v>2.0</v>
      </c>
      <c r="M92" s="173">
        <v>500.0</v>
      </c>
      <c r="N92" s="162">
        <v>0.0</v>
      </c>
      <c r="O92" s="82">
        <v>1.75E8</v>
      </c>
      <c r="P92" s="82">
        <f>144890450+99575600+129230711</f>
        <v>373696761</v>
      </c>
      <c r="Q92" s="163">
        <f t="shared" si="2"/>
        <v>548696761</v>
      </c>
      <c r="R92" s="135">
        <v>0.0</v>
      </c>
      <c r="S92" s="164">
        <v>0.0</v>
      </c>
      <c r="T92" s="165">
        <f t="shared" si="3"/>
        <v>548696761</v>
      </c>
      <c r="U92" s="83" t="s">
        <v>64</v>
      </c>
      <c r="V92" s="83" t="s">
        <v>64</v>
      </c>
      <c r="W92" s="175"/>
      <c r="X92" s="176">
        <v>45960.0</v>
      </c>
      <c r="Y92" s="176">
        <v>46021.0</v>
      </c>
      <c r="Z92" s="177">
        <v>0.0</v>
      </c>
      <c r="AA92" s="170">
        <v>0.0</v>
      </c>
      <c r="AB92" s="176">
        <v>46021.0</v>
      </c>
      <c r="AC92" s="38">
        <f t="shared" si="4"/>
        <v>-266</v>
      </c>
      <c r="AD92" s="27"/>
      <c r="AE92" s="27">
        <v>200.0</v>
      </c>
      <c r="AF92" s="27">
        <v>200.0</v>
      </c>
      <c r="AH92" s="95">
        <f t="shared" si="25"/>
        <v>400</v>
      </c>
      <c r="AI92" s="173">
        <v>400.0</v>
      </c>
      <c r="AJ92" s="88">
        <f t="shared" si="26"/>
        <v>0</v>
      </c>
      <c r="AK92" s="162"/>
      <c r="AL92" s="162"/>
      <c r="AM92" s="162"/>
      <c r="AN92" s="162"/>
      <c r="AO92" s="162">
        <v>0.0</v>
      </c>
      <c r="AP92" s="178">
        <v>400.0</v>
      </c>
      <c r="AQ92" s="162">
        <v>0.0</v>
      </c>
      <c r="AR92" s="82">
        <f t="shared" si="27"/>
        <v>175000000</v>
      </c>
      <c r="AS92" s="82">
        <v>1.29594884E8</v>
      </c>
      <c r="AT92" s="171">
        <f t="shared" si="28"/>
        <v>0.8</v>
      </c>
      <c r="AU92" s="171">
        <f t="shared" si="23"/>
        <v>0.7405421943</v>
      </c>
      <c r="AV92" s="179" t="s">
        <v>525</v>
      </c>
      <c r="AW92" s="91"/>
      <c r="AX92" s="43"/>
      <c r="AY92" s="91"/>
      <c r="AZ92" s="92"/>
      <c r="BA92" s="92"/>
      <c r="BB92" s="92"/>
      <c r="BC92" s="46"/>
      <c r="BD92" s="92"/>
      <c r="BE92" s="47"/>
      <c r="BF92" s="99"/>
      <c r="BG92" s="103"/>
      <c r="BH92" s="99"/>
    </row>
    <row r="93" ht="102.0" customHeight="1">
      <c r="A93" s="50">
        <v>92.0</v>
      </c>
      <c r="B93" s="51">
        <v>2025.0</v>
      </c>
      <c r="C93" s="184" t="s">
        <v>234</v>
      </c>
      <c r="D93" s="185" t="s">
        <v>74</v>
      </c>
      <c r="E93" s="186" t="s">
        <v>75</v>
      </c>
      <c r="F93" s="53" t="s">
        <v>526</v>
      </c>
      <c r="G93" s="184" t="s">
        <v>241</v>
      </c>
      <c r="H93" s="184" t="str">
        <f t="shared" si="24"/>
        <v>DABEIBA</v>
      </c>
      <c r="I93" s="184" t="s">
        <v>127</v>
      </c>
      <c r="J93" s="184" t="s">
        <v>527</v>
      </c>
      <c r="K93" s="184" t="s">
        <v>528</v>
      </c>
      <c r="L93" s="184">
        <v>2.0</v>
      </c>
      <c r="M93" s="100">
        <v>300.0</v>
      </c>
      <c r="N93" s="187">
        <v>0.0</v>
      </c>
      <c r="O93" s="113">
        <v>1.05E8</v>
      </c>
      <c r="P93" s="113">
        <v>3.17209141E8</v>
      </c>
      <c r="Q93" s="188">
        <f t="shared" si="2"/>
        <v>422209141</v>
      </c>
      <c r="R93" s="114">
        <v>0.0</v>
      </c>
      <c r="S93" s="189">
        <v>0.0</v>
      </c>
      <c r="T93" s="190">
        <f t="shared" si="3"/>
        <v>422209141</v>
      </c>
      <c r="U93" s="221" t="s">
        <v>64</v>
      </c>
      <c r="V93" s="221" t="s">
        <v>64</v>
      </c>
      <c r="W93" s="192"/>
      <c r="X93" s="193">
        <v>45960.0</v>
      </c>
      <c r="Y93" s="193">
        <v>46021.0</v>
      </c>
      <c r="Z93" s="194">
        <v>0.0</v>
      </c>
      <c r="AA93" s="195">
        <v>0.0</v>
      </c>
      <c r="AB93" s="193">
        <v>46021.0</v>
      </c>
      <c r="AC93" s="66">
        <f t="shared" si="4"/>
        <v>-266</v>
      </c>
      <c r="AD93" s="55"/>
      <c r="AE93" s="55">
        <v>90.0</v>
      </c>
      <c r="AF93" s="55">
        <v>210.0</v>
      </c>
      <c r="AH93" s="95">
        <f t="shared" si="25"/>
        <v>300</v>
      </c>
      <c r="AI93" s="178">
        <v>300.0</v>
      </c>
      <c r="AJ93" s="88">
        <f t="shared" si="26"/>
        <v>0</v>
      </c>
      <c r="AK93" s="187"/>
      <c r="AL93" s="187"/>
      <c r="AM93" s="187"/>
      <c r="AN93" s="187"/>
      <c r="AO93" s="187">
        <v>0.0</v>
      </c>
      <c r="AP93" s="87">
        <v>300.0</v>
      </c>
      <c r="AQ93" s="187">
        <v>0.0</v>
      </c>
      <c r="AR93" s="113">
        <f t="shared" si="27"/>
        <v>105000000</v>
      </c>
      <c r="AS93" s="113">
        <v>1.03758964E8</v>
      </c>
      <c r="AT93" s="198">
        <f t="shared" si="28"/>
        <v>1</v>
      </c>
      <c r="AU93" s="198">
        <f t="shared" si="23"/>
        <v>0.9881806095</v>
      </c>
      <c r="AV93" s="204" t="s">
        <v>529</v>
      </c>
      <c r="AW93" s="74"/>
      <c r="AX93" s="75"/>
      <c r="AY93" s="74"/>
      <c r="AZ93" s="76"/>
      <c r="BA93" s="76"/>
      <c r="BB93" s="76"/>
      <c r="BC93" s="77"/>
      <c r="BD93" s="76"/>
      <c r="BE93" s="117"/>
      <c r="BF93" s="199"/>
      <c r="BG93" s="118"/>
      <c r="BH93" s="199"/>
    </row>
    <row r="94" ht="102.0" customHeight="1">
      <c r="A94" s="21">
        <v>93.0</v>
      </c>
      <c r="B94" s="22">
        <v>2025.0</v>
      </c>
      <c r="C94" s="23" t="s">
        <v>234</v>
      </c>
      <c r="D94" s="80" t="s">
        <v>74</v>
      </c>
      <c r="E94" s="172" t="s">
        <v>75</v>
      </c>
      <c r="F94" s="25" t="s">
        <v>530</v>
      </c>
      <c r="G94" s="23" t="s">
        <v>531</v>
      </c>
      <c r="H94" s="23" t="str">
        <f t="shared" si="24"/>
        <v>GIRALDO</v>
      </c>
      <c r="I94" s="23" t="s">
        <v>127</v>
      </c>
      <c r="J94" s="23" t="s">
        <v>532</v>
      </c>
      <c r="K94" s="23" t="s">
        <v>533</v>
      </c>
      <c r="L94" s="23">
        <v>2.0</v>
      </c>
      <c r="M94" s="173">
        <v>500.0</v>
      </c>
      <c r="N94" s="162">
        <v>0.0</v>
      </c>
      <c r="O94" s="82">
        <v>1.75E8</v>
      </c>
      <c r="P94" s="82">
        <v>3.19023422E8</v>
      </c>
      <c r="Q94" s="163">
        <f t="shared" si="2"/>
        <v>494023422</v>
      </c>
      <c r="R94" s="135">
        <v>0.0</v>
      </c>
      <c r="S94" s="164">
        <v>0.0</v>
      </c>
      <c r="T94" s="165">
        <f t="shared" si="3"/>
        <v>494023422</v>
      </c>
      <c r="U94" s="83" t="s">
        <v>64</v>
      </c>
      <c r="V94" s="83" t="s">
        <v>64</v>
      </c>
      <c r="W94" s="175"/>
      <c r="X94" s="176">
        <v>45960.0</v>
      </c>
      <c r="Y94" s="176">
        <v>46021.0</v>
      </c>
      <c r="Z94" s="177">
        <v>0.0</v>
      </c>
      <c r="AA94" s="170">
        <v>0.0</v>
      </c>
      <c r="AB94" s="176">
        <v>46021.0</v>
      </c>
      <c r="AC94" s="38">
        <f t="shared" si="4"/>
        <v>-266</v>
      </c>
      <c r="AD94" s="27"/>
      <c r="AE94" s="27">
        <v>150.0</v>
      </c>
      <c r="AF94" s="27">
        <v>350.0</v>
      </c>
      <c r="AH94" s="95">
        <f t="shared" si="25"/>
        <v>500</v>
      </c>
      <c r="AI94" s="178">
        <v>500.0</v>
      </c>
      <c r="AJ94" s="88">
        <f t="shared" si="26"/>
        <v>0</v>
      </c>
      <c r="AK94" s="162"/>
      <c r="AL94" s="162"/>
      <c r="AM94" s="162"/>
      <c r="AN94" s="162"/>
      <c r="AO94" s="162">
        <v>0.0</v>
      </c>
      <c r="AP94" s="87">
        <v>500.0</v>
      </c>
      <c r="AQ94" s="162">
        <v>0.0</v>
      </c>
      <c r="AR94" s="82">
        <f t="shared" si="27"/>
        <v>175000000</v>
      </c>
      <c r="AS94" s="82">
        <v>1.74991697E8</v>
      </c>
      <c r="AT94" s="171">
        <f t="shared" si="28"/>
        <v>1</v>
      </c>
      <c r="AU94" s="171">
        <f t="shared" si="23"/>
        <v>0.9999525543</v>
      </c>
      <c r="AV94" s="107" t="s">
        <v>534</v>
      </c>
      <c r="AW94" s="91"/>
      <c r="AX94" s="43"/>
      <c r="AY94" s="91"/>
      <c r="AZ94" s="92"/>
      <c r="BA94" s="92"/>
      <c r="BB94" s="92"/>
      <c r="BC94" s="46"/>
      <c r="BD94" s="92"/>
      <c r="BE94" s="47"/>
      <c r="BF94" s="99"/>
      <c r="BG94" s="103"/>
      <c r="BH94" s="99"/>
    </row>
    <row r="95" ht="102.0" customHeight="1">
      <c r="A95" s="21">
        <v>94.0</v>
      </c>
      <c r="B95" s="22">
        <v>2025.0</v>
      </c>
      <c r="C95" s="23" t="s">
        <v>234</v>
      </c>
      <c r="D95" s="80" t="s">
        <v>74</v>
      </c>
      <c r="E95" s="172" t="s">
        <v>75</v>
      </c>
      <c r="F95" s="25" t="s">
        <v>535</v>
      </c>
      <c r="G95" s="23" t="s">
        <v>236</v>
      </c>
      <c r="H95" s="23" t="str">
        <f t="shared" si="24"/>
        <v>CAÑASGORDAS</v>
      </c>
      <c r="I95" s="23" t="s">
        <v>127</v>
      </c>
      <c r="J95" s="23" t="s">
        <v>536</v>
      </c>
      <c r="K95" s="23" t="s">
        <v>537</v>
      </c>
      <c r="L95" s="23">
        <v>2.0</v>
      </c>
      <c r="M95" s="173">
        <v>500.0</v>
      </c>
      <c r="N95" s="162">
        <v>0.0</v>
      </c>
      <c r="O95" s="82">
        <v>1.75E8</v>
      </c>
      <c r="P95" s="82">
        <v>2.01387052E8</v>
      </c>
      <c r="Q95" s="163">
        <f t="shared" si="2"/>
        <v>376387052</v>
      </c>
      <c r="R95" s="135">
        <v>0.0</v>
      </c>
      <c r="S95" s="164">
        <v>0.0</v>
      </c>
      <c r="T95" s="165">
        <f t="shared" si="3"/>
        <v>376387052</v>
      </c>
      <c r="U95" s="83" t="s">
        <v>64</v>
      </c>
      <c r="V95" s="83" t="s">
        <v>64</v>
      </c>
      <c r="W95" s="175"/>
      <c r="X95" s="176">
        <v>45960.0</v>
      </c>
      <c r="Y95" s="176">
        <v>46021.0</v>
      </c>
      <c r="Z95" s="177">
        <v>0.0</v>
      </c>
      <c r="AA95" s="170">
        <v>0.0</v>
      </c>
      <c r="AB95" s="176">
        <v>46021.0</v>
      </c>
      <c r="AC95" s="38">
        <f t="shared" si="4"/>
        <v>-266</v>
      </c>
      <c r="AD95" s="27"/>
      <c r="AE95" s="27">
        <v>200.0</v>
      </c>
      <c r="AF95" s="27">
        <v>300.0</v>
      </c>
      <c r="AH95" s="95">
        <f t="shared" si="25"/>
        <v>500</v>
      </c>
      <c r="AI95" s="178">
        <v>500.0</v>
      </c>
      <c r="AJ95" s="88">
        <f t="shared" si="26"/>
        <v>0</v>
      </c>
      <c r="AK95" s="162"/>
      <c r="AL95" s="162"/>
      <c r="AM95" s="162"/>
      <c r="AN95" s="162"/>
      <c r="AO95" s="162">
        <v>0.0</v>
      </c>
      <c r="AP95" s="87">
        <v>500.0</v>
      </c>
      <c r="AQ95" s="162">
        <v>0.0</v>
      </c>
      <c r="AR95" s="82">
        <f t="shared" si="27"/>
        <v>175000000</v>
      </c>
      <c r="AS95" s="82">
        <v>1.61378264E8</v>
      </c>
      <c r="AT95" s="171">
        <f t="shared" si="28"/>
        <v>1</v>
      </c>
      <c r="AU95" s="171">
        <f t="shared" si="23"/>
        <v>0.9221615086</v>
      </c>
      <c r="AV95" s="73" t="s">
        <v>538</v>
      </c>
      <c r="AW95" s="91"/>
      <c r="AX95" s="43"/>
      <c r="AY95" s="91"/>
      <c r="AZ95" s="92"/>
      <c r="BA95" s="92"/>
      <c r="BB95" s="92"/>
      <c r="BC95" s="46"/>
      <c r="BD95" s="92"/>
      <c r="BE95" s="47"/>
      <c r="BF95" s="99"/>
      <c r="BG95" s="103"/>
      <c r="BH95" s="99"/>
    </row>
    <row r="96" ht="102.0" customHeight="1">
      <c r="A96" s="50">
        <v>95.0</v>
      </c>
      <c r="B96" s="51">
        <v>2025.0</v>
      </c>
      <c r="C96" s="184" t="s">
        <v>234</v>
      </c>
      <c r="D96" s="185" t="s">
        <v>74</v>
      </c>
      <c r="E96" s="186" t="s">
        <v>75</v>
      </c>
      <c r="F96" s="53" t="s">
        <v>539</v>
      </c>
      <c r="G96" s="184" t="s">
        <v>540</v>
      </c>
      <c r="H96" s="184" t="str">
        <f t="shared" si="24"/>
        <v>CAICEDO</v>
      </c>
      <c r="I96" s="184" t="s">
        <v>127</v>
      </c>
      <c r="J96" s="184" t="s">
        <v>541</v>
      </c>
      <c r="K96" s="184" t="s">
        <v>542</v>
      </c>
      <c r="L96" s="184">
        <v>2.0</v>
      </c>
      <c r="M96" s="100">
        <v>200.0</v>
      </c>
      <c r="N96" s="187">
        <v>0.0</v>
      </c>
      <c r="O96" s="113">
        <v>7.0E7</v>
      </c>
      <c r="P96" s="113">
        <v>1.2451713E8</v>
      </c>
      <c r="Q96" s="188">
        <f t="shared" si="2"/>
        <v>194517130</v>
      </c>
      <c r="R96" s="114">
        <v>0.0</v>
      </c>
      <c r="S96" s="189">
        <v>0.0</v>
      </c>
      <c r="T96" s="190">
        <f t="shared" si="3"/>
        <v>194517130</v>
      </c>
      <c r="U96" s="221" t="s">
        <v>64</v>
      </c>
      <c r="V96" s="221" t="s">
        <v>64</v>
      </c>
      <c r="W96" s="192"/>
      <c r="X96" s="193">
        <v>45958.0</v>
      </c>
      <c r="Y96" s="193">
        <v>46019.0</v>
      </c>
      <c r="Z96" s="194">
        <v>0.0</v>
      </c>
      <c r="AA96" s="195">
        <v>0.0</v>
      </c>
      <c r="AB96" s="193">
        <v>46019.0</v>
      </c>
      <c r="AC96" s="66">
        <f t="shared" si="4"/>
        <v>-268</v>
      </c>
      <c r="AD96" s="55"/>
      <c r="AE96" s="55">
        <v>100.0</v>
      </c>
      <c r="AF96" s="55">
        <v>100.0</v>
      </c>
      <c r="AH96" s="95">
        <f t="shared" si="25"/>
        <v>200</v>
      </c>
      <c r="AI96" s="178">
        <v>200.0</v>
      </c>
      <c r="AJ96" s="88">
        <f t="shared" si="26"/>
        <v>0</v>
      </c>
      <c r="AK96" s="187"/>
      <c r="AL96" s="187"/>
      <c r="AM96" s="187"/>
      <c r="AN96" s="187"/>
      <c r="AO96" s="187">
        <v>0.0</v>
      </c>
      <c r="AP96" s="87">
        <v>200.0</v>
      </c>
      <c r="AQ96" s="187">
        <v>0.0</v>
      </c>
      <c r="AR96" s="113">
        <f t="shared" si="27"/>
        <v>70000000</v>
      </c>
      <c r="AS96" s="113">
        <v>6.9999049E7</v>
      </c>
      <c r="AT96" s="198">
        <f t="shared" si="28"/>
        <v>1</v>
      </c>
      <c r="AU96" s="198">
        <f t="shared" si="23"/>
        <v>0.9999864143</v>
      </c>
      <c r="AV96" s="107" t="s">
        <v>543</v>
      </c>
      <c r="AW96" s="74"/>
      <c r="AX96" s="75"/>
      <c r="AY96" s="74"/>
      <c r="AZ96" s="76"/>
      <c r="BA96" s="76"/>
      <c r="BB96" s="76"/>
      <c r="BC96" s="77"/>
      <c r="BD96" s="76"/>
      <c r="BE96" s="117"/>
      <c r="BF96" s="199"/>
      <c r="BG96" s="118"/>
      <c r="BH96" s="199"/>
    </row>
    <row r="97" ht="102.0" customHeight="1">
      <c r="A97" s="21">
        <v>96.0</v>
      </c>
      <c r="B97" s="22">
        <v>2025.0</v>
      </c>
      <c r="C97" s="23" t="s">
        <v>234</v>
      </c>
      <c r="D97" s="80" t="s">
        <v>74</v>
      </c>
      <c r="E97" s="23" t="s">
        <v>544</v>
      </c>
      <c r="F97" s="25" t="s">
        <v>545</v>
      </c>
      <c r="G97" s="23" t="s">
        <v>540</v>
      </c>
      <c r="H97" s="23" t="s">
        <v>546</v>
      </c>
      <c r="I97" s="23" t="s">
        <v>127</v>
      </c>
      <c r="J97" s="23" t="s">
        <v>547</v>
      </c>
      <c r="K97" s="23" t="s">
        <v>548</v>
      </c>
      <c r="L97" s="23">
        <v>1.5</v>
      </c>
      <c r="M97" s="173">
        <v>100.0</v>
      </c>
      <c r="N97" s="162">
        <v>0.0</v>
      </c>
      <c r="O97" s="82">
        <v>1.22406429E8</v>
      </c>
      <c r="P97" s="82">
        <v>1.3131454E7</v>
      </c>
      <c r="Q97" s="163">
        <f t="shared" si="2"/>
        <v>135537883</v>
      </c>
      <c r="R97" s="164">
        <v>0.0</v>
      </c>
      <c r="S97" s="164">
        <v>0.0</v>
      </c>
      <c r="T97" s="165">
        <f t="shared" si="3"/>
        <v>135537883</v>
      </c>
      <c r="U97" s="174" t="s">
        <v>64</v>
      </c>
      <c r="V97" s="174" t="s">
        <v>64</v>
      </c>
      <c r="W97" s="175"/>
      <c r="X97" s="176">
        <v>46003.0</v>
      </c>
      <c r="Y97" s="176">
        <v>46049.0</v>
      </c>
      <c r="Z97" s="177">
        <v>0.0</v>
      </c>
      <c r="AA97" s="160"/>
      <c r="AB97" s="176">
        <v>46049.0</v>
      </c>
      <c r="AC97" s="38">
        <f t="shared" si="4"/>
        <v>-238</v>
      </c>
      <c r="AD97" s="27"/>
      <c r="AE97" s="27">
        <v>100.0</v>
      </c>
      <c r="AF97" s="27"/>
      <c r="AH97" s="95">
        <f t="shared" ref="AH97:AH98" si="29">AD97+AE97+AF97</f>
        <v>100</v>
      </c>
      <c r="AI97" s="178">
        <v>100.0</v>
      </c>
      <c r="AJ97" s="88">
        <f t="shared" si="26"/>
        <v>0</v>
      </c>
      <c r="AK97" s="162"/>
      <c r="AL97" s="162"/>
      <c r="AM97" s="162"/>
      <c r="AN97" s="162"/>
      <c r="AO97" s="162">
        <v>0.0</v>
      </c>
      <c r="AP97" s="87">
        <v>100.0</v>
      </c>
      <c r="AQ97" s="162">
        <v>0.0</v>
      </c>
      <c r="AR97" s="82">
        <v>1.22406429E8</v>
      </c>
      <c r="AS97" s="82">
        <f>36721929+79564179</f>
        <v>116286108</v>
      </c>
      <c r="AT97" s="171">
        <f t="shared" si="28"/>
        <v>1</v>
      </c>
      <c r="AU97" s="171">
        <f t="shared" si="23"/>
        <v>0.9500000037</v>
      </c>
      <c r="AV97" s="253" t="s">
        <v>549</v>
      </c>
      <c r="AW97" s="74"/>
      <c r="AX97" s="75"/>
      <c r="AY97" s="74"/>
      <c r="AZ97" s="76"/>
      <c r="BA97" s="76"/>
      <c r="BB97" s="76"/>
      <c r="BC97" s="77"/>
      <c r="BD97" s="76"/>
      <c r="BE97" s="74"/>
      <c r="BF97" s="199"/>
      <c r="BG97" s="118"/>
      <c r="BH97" s="199"/>
    </row>
    <row r="98" ht="102.0" customHeight="1">
      <c r="A98" s="21">
        <v>97.0</v>
      </c>
      <c r="B98" s="22">
        <v>2025.0</v>
      </c>
      <c r="C98" s="23" t="s">
        <v>550</v>
      </c>
      <c r="D98" s="80" t="s">
        <v>74</v>
      </c>
      <c r="E98" s="172" t="s">
        <v>75</v>
      </c>
      <c r="F98" s="25" t="s">
        <v>551</v>
      </c>
      <c r="G98" s="23" t="s">
        <v>552</v>
      </c>
      <c r="H98" s="23" t="str">
        <f t="shared" ref="H98:H110" si="30">G98</f>
        <v>JARDÍN</v>
      </c>
      <c r="I98" s="23" t="s">
        <v>78</v>
      </c>
      <c r="J98" s="23" t="s">
        <v>553</v>
      </c>
      <c r="K98" s="23" t="s">
        <v>554</v>
      </c>
      <c r="L98" s="23">
        <v>1.5</v>
      </c>
      <c r="M98" s="173">
        <v>500.0</v>
      </c>
      <c r="N98" s="162">
        <v>0.0</v>
      </c>
      <c r="O98" s="82">
        <v>1.75E8</v>
      </c>
      <c r="P98" s="82">
        <v>0.0</v>
      </c>
      <c r="Q98" s="163">
        <f t="shared" si="2"/>
        <v>175000000</v>
      </c>
      <c r="R98" s="135">
        <v>0.0</v>
      </c>
      <c r="S98" s="164">
        <v>0.0</v>
      </c>
      <c r="T98" s="165">
        <f t="shared" si="3"/>
        <v>175000000</v>
      </c>
      <c r="U98" s="83" t="s">
        <v>64</v>
      </c>
      <c r="V98" s="83" t="s">
        <v>64</v>
      </c>
      <c r="W98" s="175"/>
      <c r="X98" s="176">
        <v>45975.0</v>
      </c>
      <c r="Y98" s="176">
        <v>46022.0</v>
      </c>
      <c r="Z98" s="177">
        <v>0.0</v>
      </c>
      <c r="AA98" s="170">
        <v>0.0</v>
      </c>
      <c r="AB98" s="176">
        <v>46022.0</v>
      </c>
      <c r="AC98" s="38">
        <f t="shared" si="4"/>
        <v>-265</v>
      </c>
      <c r="AD98" s="27"/>
      <c r="AE98" s="27">
        <v>500.0</v>
      </c>
      <c r="AF98" s="27"/>
      <c r="AH98" s="95">
        <f t="shared" si="29"/>
        <v>500</v>
      </c>
      <c r="AI98" s="178">
        <v>500.0</v>
      </c>
      <c r="AJ98" s="88">
        <f t="shared" si="26"/>
        <v>0</v>
      </c>
      <c r="AK98" s="162"/>
      <c r="AL98" s="162"/>
      <c r="AM98" s="162"/>
      <c r="AN98" s="162"/>
      <c r="AO98" s="162">
        <v>0.0</v>
      </c>
      <c r="AP98" s="87">
        <v>500.0</v>
      </c>
      <c r="AQ98" s="162">
        <v>0.0</v>
      </c>
      <c r="AR98" s="82">
        <f t="shared" ref="AR98:AR110" si="31">O98</f>
        <v>175000000</v>
      </c>
      <c r="AS98" s="82">
        <v>1.74957116E8</v>
      </c>
      <c r="AT98" s="238">
        <f t="shared" si="28"/>
        <v>1</v>
      </c>
      <c r="AU98" s="238">
        <f t="shared" si="23"/>
        <v>0.9997549486</v>
      </c>
      <c r="AV98" s="225" t="s">
        <v>555</v>
      </c>
      <c r="AW98" s="91"/>
      <c r="AX98" s="43"/>
      <c r="AY98" s="91"/>
      <c r="AZ98" s="92"/>
      <c r="BA98" s="92"/>
      <c r="BB98" s="92"/>
      <c r="BC98" s="46"/>
      <c r="BD98" s="92"/>
      <c r="BE98" s="47"/>
      <c r="BF98" s="99"/>
      <c r="BG98" s="103"/>
      <c r="BH98" s="99"/>
    </row>
    <row r="99" ht="102.0" customHeight="1">
      <c r="A99" s="50">
        <v>98.0</v>
      </c>
      <c r="B99" s="51">
        <v>2025.0</v>
      </c>
      <c r="C99" s="184" t="s">
        <v>550</v>
      </c>
      <c r="D99" s="185" t="s">
        <v>74</v>
      </c>
      <c r="E99" s="186" t="s">
        <v>75</v>
      </c>
      <c r="F99" s="53" t="s">
        <v>556</v>
      </c>
      <c r="G99" s="184" t="s">
        <v>557</v>
      </c>
      <c r="H99" s="184" t="str">
        <f t="shared" si="30"/>
        <v>HISPANIA</v>
      </c>
      <c r="I99" s="184" t="s">
        <v>78</v>
      </c>
      <c r="J99" s="184" t="s">
        <v>558</v>
      </c>
      <c r="K99" s="184" t="s">
        <v>559</v>
      </c>
      <c r="L99" s="184">
        <v>1.5</v>
      </c>
      <c r="M99" s="100">
        <v>500.0</v>
      </c>
      <c r="N99" s="187">
        <v>0.0</v>
      </c>
      <c r="O99" s="113">
        <v>1.75E8</v>
      </c>
      <c r="P99" s="113">
        <v>0.0</v>
      </c>
      <c r="Q99" s="188">
        <f t="shared" si="2"/>
        <v>175000000</v>
      </c>
      <c r="R99" s="114">
        <v>0.0</v>
      </c>
      <c r="S99" s="189">
        <v>0.0</v>
      </c>
      <c r="T99" s="190">
        <f t="shared" si="3"/>
        <v>175000000</v>
      </c>
      <c r="U99" s="221" t="s">
        <v>64</v>
      </c>
      <c r="V99" s="221" t="s">
        <v>64</v>
      </c>
      <c r="W99" s="192"/>
      <c r="X99" s="193">
        <v>45975.0</v>
      </c>
      <c r="Y99" s="193">
        <v>46022.0</v>
      </c>
      <c r="Z99" s="194">
        <v>0.0</v>
      </c>
      <c r="AA99" s="195">
        <v>0.0</v>
      </c>
      <c r="AB99" s="193">
        <v>46022.0</v>
      </c>
      <c r="AC99" s="66">
        <f t="shared" si="4"/>
        <v>-265</v>
      </c>
      <c r="AD99" s="55"/>
      <c r="AE99" s="55"/>
      <c r="AF99" s="55">
        <v>500.0</v>
      </c>
      <c r="AH99" s="95">
        <f t="shared" ref="AH99:AH110" si="32">AD99+AE99+AF99+AG99</f>
        <v>500</v>
      </c>
      <c r="AI99" s="178">
        <v>500.0</v>
      </c>
      <c r="AJ99" s="88">
        <f t="shared" si="26"/>
        <v>0</v>
      </c>
      <c r="AK99" s="187"/>
      <c r="AL99" s="187"/>
      <c r="AM99" s="187"/>
      <c r="AN99" s="187"/>
      <c r="AO99" s="187">
        <v>0.0</v>
      </c>
      <c r="AP99" s="87">
        <v>500.0</v>
      </c>
      <c r="AQ99" s="187">
        <v>0.0</v>
      </c>
      <c r="AR99" s="113">
        <f t="shared" si="31"/>
        <v>175000000</v>
      </c>
      <c r="AS99" s="113">
        <v>1.74972233E8</v>
      </c>
      <c r="AT99" s="198">
        <f t="shared" si="28"/>
        <v>1</v>
      </c>
      <c r="AU99" s="198">
        <f t="shared" si="23"/>
        <v>0.9998413314</v>
      </c>
      <c r="AV99" s="179" t="s">
        <v>560</v>
      </c>
      <c r="AW99" s="74"/>
      <c r="AX99" s="75"/>
      <c r="AY99" s="74"/>
      <c r="AZ99" s="76"/>
      <c r="BA99" s="76"/>
      <c r="BB99" s="76"/>
      <c r="BC99" s="77"/>
      <c r="BD99" s="76"/>
      <c r="BE99" s="117"/>
      <c r="BF99" s="199"/>
      <c r="BG99" s="118"/>
      <c r="BH99" s="199"/>
    </row>
    <row r="100" ht="102.0" customHeight="1">
      <c r="A100" s="50">
        <v>99.0</v>
      </c>
      <c r="B100" s="51">
        <v>2025.0</v>
      </c>
      <c r="C100" s="184" t="s">
        <v>389</v>
      </c>
      <c r="D100" s="185" t="s">
        <v>74</v>
      </c>
      <c r="E100" s="186" t="s">
        <v>75</v>
      </c>
      <c r="F100" s="53" t="s">
        <v>561</v>
      </c>
      <c r="G100" s="184" t="s">
        <v>374</v>
      </c>
      <c r="H100" s="184" t="str">
        <f t="shared" si="30"/>
        <v>SAN PEDRO DE URABÁ</v>
      </c>
      <c r="I100" s="184" t="s">
        <v>61</v>
      </c>
      <c r="J100" s="184" t="s">
        <v>562</v>
      </c>
      <c r="K100" s="184" t="s">
        <v>563</v>
      </c>
      <c r="L100" s="184">
        <v>1.5</v>
      </c>
      <c r="M100" s="100">
        <v>500.0</v>
      </c>
      <c r="N100" s="187">
        <v>0.0</v>
      </c>
      <c r="O100" s="113">
        <v>1.75E8</v>
      </c>
      <c r="P100" s="113">
        <v>0.0</v>
      </c>
      <c r="Q100" s="188">
        <f t="shared" si="2"/>
        <v>175000000</v>
      </c>
      <c r="R100" s="114">
        <v>0.0</v>
      </c>
      <c r="S100" s="189">
        <v>0.0</v>
      </c>
      <c r="T100" s="190">
        <f t="shared" si="3"/>
        <v>175000000</v>
      </c>
      <c r="U100" s="221" t="s">
        <v>64</v>
      </c>
      <c r="V100" s="221" t="s">
        <v>387</v>
      </c>
      <c r="W100" s="192"/>
      <c r="X100" s="193">
        <v>45975.0</v>
      </c>
      <c r="Y100" s="193">
        <v>46022.0</v>
      </c>
      <c r="Z100" s="194">
        <v>0.0</v>
      </c>
      <c r="AA100" s="195">
        <v>0.0</v>
      </c>
      <c r="AB100" s="193">
        <v>46022.0</v>
      </c>
      <c r="AC100" s="66">
        <f t="shared" si="4"/>
        <v>-265</v>
      </c>
      <c r="AD100" s="55"/>
      <c r="AE100" s="196">
        <v>25.0</v>
      </c>
      <c r="AF100" s="196">
        <v>475.0</v>
      </c>
      <c r="AH100" s="95">
        <f t="shared" si="32"/>
        <v>500</v>
      </c>
      <c r="AI100" s="237">
        <v>500.0</v>
      </c>
      <c r="AJ100" s="88">
        <f t="shared" si="26"/>
        <v>0</v>
      </c>
      <c r="AK100" s="254"/>
      <c r="AL100" s="254"/>
      <c r="AM100" s="254"/>
      <c r="AN100" s="254"/>
      <c r="AO100" s="254">
        <v>0.0</v>
      </c>
      <c r="AP100" s="197">
        <v>500.0</v>
      </c>
      <c r="AQ100" s="254">
        <v>0.0</v>
      </c>
      <c r="AR100" s="255">
        <f t="shared" si="31"/>
        <v>175000000</v>
      </c>
      <c r="AS100" s="255">
        <v>1.74983391E8</v>
      </c>
      <c r="AT100" s="256">
        <f t="shared" si="28"/>
        <v>1</v>
      </c>
      <c r="AU100" s="256">
        <f t="shared" si="23"/>
        <v>0.9999050914</v>
      </c>
      <c r="AV100" s="225" t="s">
        <v>564</v>
      </c>
      <c r="AW100" s="74"/>
      <c r="AX100" s="75"/>
      <c r="AY100" s="74"/>
      <c r="AZ100" s="76"/>
      <c r="BA100" s="76"/>
      <c r="BB100" s="76"/>
      <c r="BC100" s="77"/>
      <c r="BD100" s="76"/>
      <c r="BE100" s="117"/>
      <c r="BF100" s="199"/>
      <c r="BG100" s="118"/>
      <c r="BH100" s="199"/>
    </row>
    <row r="101" ht="102.0" customHeight="1">
      <c r="A101" s="50">
        <v>100.0</v>
      </c>
      <c r="B101" s="51">
        <v>2025.0</v>
      </c>
      <c r="C101" s="184" t="s">
        <v>267</v>
      </c>
      <c r="D101" s="185" t="s">
        <v>74</v>
      </c>
      <c r="E101" s="186" t="s">
        <v>75</v>
      </c>
      <c r="F101" s="53" t="s">
        <v>565</v>
      </c>
      <c r="G101" s="184" t="s">
        <v>281</v>
      </c>
      <c r="H101" s="184" t="str">
        <f t="shared" si="30"/>
        <v>EL PEÑOL</v>
      </c>
      <c r="I101" s="184" t="s">
        <v>120</v>
      </c>
      <c r="J101" s="184" t="s">
        <v>566</v>
      </c>
      <c r="K101" s="184" t="s">
        <v>567</v>
      </c>
      <c r="L101" s="184">
        <v>8.0</v>
      </c>
      <c r="M101" s="100">
        <v>1000.0</v>
      </c>
      <c r="N101" s="187">
        <v>0.0</v>
      </c>
      <c r="O101" s="113">
        <v>3.5E8</v>
      </c>
      <c r="P101" s="113">
        <v>4.0086953E8</v>
      </c>
      <c r="Q101" s="188">
        <f t="shared" si="2"/>
        <v>750869530</v>
      </c>
      <c r="R101" s="189">
        <v>0.0</v>
      </c>
      <c r="S101" s="189">
        <v>0.0</v>
      </c>
      <c r="T101" s="190">
        <f t="shared" si="3"/>
        <v>750869530</v>
      </c>
      <c r="U101" s="221" t="s">
        <v>220</v>
      </c>
      <c r="V101" s="221" t="s">
        <v>220</v>
      </c>
      <c r="W101" s="192"/>
      <c r="X101" s="193">
        <v>45777.0</v>
      </c>
      <c r="Y101" s="193">
        <v>46021.0</v>
      </c>
      <c r="Z101" s="194">
        <v>0.0</v>
      </c>
      <c r="AA101" s="195">
        <v>0.0</v>
      </c>
      <c r="AB101" s="193">
        <v>46021.0</v>
      </c>
      <c r="AC101" s="66">
        <f t="shared" si="4"/>
        <v>-266</v>
      </c>
      <c r="AD101" s="55"/>
      <c r="AE101" s="55">
        <v>800.0</v>
      </c>
      <c r="AF101" s="55">
        <v>200.0</v>
      </c>
      <c r="AH101" s="95">
        <f t="shared" si="32"/>
        <v>1000</v>
      </c>
      <c r="AI101" s="87">
        <v>1000.0</v>
      </c>
      <c r="AJ101" s="88">
        <f t="shared" si="26"/>
        <v>0</v>
      </c>
      <c r="AK101" s="187"/>
      <c r="AL101" s="187"/>
      <c r="AM101" s="187"/>
      <c r="AN101" s="187"/>
      <c r="AO101" s="187">
        <v>0.0</v>
      </c>
      <c r="AP101" s="87">
        <v>1000.0</v>
      </c>
      <c r="AQ101" s="187">
        <v>0.0</v>
      </c>
      <c r="AR101" s="113">
        <f t="shared" si="31"/>
        <v>350000000</v>
      </c>
      <c r="AS101" s="113">
        <v>3.04444727E8</v>
      </c>
      <c r="AT101" s="198">
        <f t="shared" si="28"/>
        <v>1</v>
      </c>
      <c r="AU101" s="198">
        <f t="shared" si="23"/>
        <v>0.8698420771</v>
      </c>
      <c r="AV101" s="184" t="s">
        <v>568</v>
      </c>
      <c r="AW101" s="74"/>
      <c r="AX101" s="214">
        <v>46183.0</v>
      </c>
      <c r="AY101" s="215" t="s">
        <v>273</v>
      </c>
      <c r="AZ101" s="210" t="s">
        <v>68</v>
      </c>
      <c r="BA101" s="210" t="s">
        <v>68</v>
      </c>
      <c r="BB101" s="219" t="s">
        <v>68</v>
      </c>
      <c r="BC101" s="77"/>
      <c r="BD101" s="210" t="s">
        <v>274</v>
      </c>
      <c r="BE101" s="218">
        <v>46234.0</v>
      </c>
      <c r="BF101" s="199"/>
      <c r="BG101" s="118"/>
      <c r="BH101" s="199"/>
    </row>
    <row r="102" ht="102.0" customHeight="1">
      <c r="A102" s="21">
        <v>101.0</v>
      </c>
      <c r="B102" s="22">
        <v>2025.0</v>
      </c>
      <c r="C102" s="184" t="s">
        <v>482</v>
      </c>
      <c r="D102" s="80" t="s">
        <v>74</v>
      </c>
      <c r="E102" s="23" t="s">
        <v>59</v>
      </c>
      <c r="F102" s="25">
        <v>4.600018022E9</v>
      </c>
      <c r="G102" s="172" t="s">
        <v>269</v>
      </c>
      <c r="H102" s="23" t="str">
        <f t="shared" si="30"/>
        <v>COCORNÁ</v>
      </c>
      <c r="I102" s="23" t="s">
        <v>120</v>
      </c>
      <c r="J102" s="23" t="s">
        <v>569</v>
      </c>
      <c r="K102" s="23" t="s">
        <v>570</v>
      </c>
      <c r="L102" s="23">
        <v>7.0</v>
      </c>
      <c r="M102" s="173">
        <v>1000.0</v>
      </c>
      <c r="N102" s="162">
        <v>0.0</v>
      </c>
      <c r="O102" s="82">
        <v>1.88909894E9</v>
      </c>
      <c r="P102" s="82">
        <v>4.72274735E8</v>
      </c>
      <c r="Q102" s="163">
        <f t="shared" si="2"/>
        <v>2361373675</v>
      </c>
      <c r="R102" s="164">
        <v>0.0</v>
      </c>
      <c r="S102" s="164">
        <v>0.0</v>
      </c>
      <c r="T102" s="165">
        <f t="shared" si="3"/>
        <v>2361373675</v>
      </c>
      <c r="U102" s="174" t="s">
        <v>64</v>
      </c>
      <c r="V102" s="83" t="s">
        <v>387</v>
      </c>
      <c r="W102" s="175"/>
      <c r="X102" s="176">
        <v>45798.0</v>
      </c>
      <c r="Y102" s="176">
        <v>46022.0</v>
      </c>
      <c r="Z102" s="177">
        <v>0.0</v>
      </c>
      <c r="AA102" s="170">
        <v>0.0</v>
      </c>
      <c r="AB102" s="176">
        <v>46022.0</v>
      </c>
      <c r="AC102" s="38">
        <f t="shared" si="4"/>
        <v>-265</v>
      </c>
      <c r="AD102" s="27"/>
      <c r="AE102" s="27">
        <v>150.0</v>
      </c>
      <c r="AF102" s="27">
        <v>800.0</v>
      </c>
      <c r="AH102" s="95">
        <f t="shared" si="32"/>
        <v>950</v>
      </c>
      <c r="AI102" s="173">
        <v>950.0</v>
      </c>
      <c r="AJ102" s="88">
        <f t="shared" si="26"/>
        <v>0</v>
      </c>
      <c r="AK102" s="162"/>
      <c r="AL102" s="162"/>
      <c r="AM102" s="162"/>
      <c r="AN102" s="162"/>
      <c r="AO102" s="162">
        <v>0.0</v>
      </c>
      <c r="AP102" s="178">
        <v>950.0</v>
      </c>
      <c r="AQ102" s="162">
        <v>0.0</v>
      </c>
      <c r="AR102" s="82">
        <f t="shared" si="31"/>
        <v>1889098940</v>
      </c>
      <c r="AS102" s="82">
        <v>0.0</v>
      </c>
      <c r="AT102" s="171">
        <f t="shared" si="28"/>
        <v>0.95</v>
      </c>
      <c r="AU102" s="171">
        <f t="shared" si="23"/>
        <v>0</v>
      </c>
      <c r="AV102" s="23" t="s">
        <v>571</v>
      </c>
      <c r="AW102" s="91"/>
      <c r="AX102" s="43"/>
      <c r="AY102" s="91"/>
      <c r="AZ102" s="92"/>
      <c r="BA102" s="92"/>
      <c r="BB102" s="92"/>
      <c r="BC102" s="46"/>
      <c r="BD102" s="92"/>
      <c r="BE102" s="47"/>
      <c r="BF102" s="99"/>
      <c r="BG102" s="103"/>
      <c r="BH102" s="99"/>
    </row>
    <row r="103" ht="102.0" customHeight="1">
      <c r="A103" s="21">
        <v>102.0</v>
      </c>
      <c r="B103" s="22">
        <v>2025.0</v>
      </c>
      <c r="C103" s="23" t="s">
        <v>267</v>
      </c>
      <c r="D103" s="80" t="s">
        <v>74</v>
      </c>
      <c r="E103" s="172" t="s">
        <v>75</v>
      </c>
      <c r="F103" s="25" t="s">
        <v>572</v>
      </c>
      <c r="G103" s="23" t="s">
        <v>295</v>
      </c>
      <c r="H103" s="23" t="str">
        <f t="shared" si="30"/>
        <v>NARIÑO</v>
      </c>
      <c r="I103" s="23" t="s">
        <v>120</v>
      </c>
      <c r="J103" s="23" t="s">
        <v>573</v>
      </c>
      <c r="K103" s="23" t="s">
        <v>574</v>
      </c>
      <c r="L103" s="23">
        <v>5.0</v>
      </c>
      <c r="M103" s="173">
        <v>420.0</v>
      </c>
      <c r="N103" s="162">
        <v>0.0</v>
      </c>
      <c r="O103" s="82">
        <v>1.47E8</v>
      </c>
      <c r="P103" s="82">
        <v>0.0</v>
      </c>
      <c r="Q103" s="163">
        <f t="shared" si="2"/>
        <v>147000000</v>
      </c>
      <c r="R103" s="164">
        <v>0.0</v>
      </c>
      <c r="S103" s="164">
        <v>0.0</v>
      </c>
      <c r="T103" s="165">
        <f t="shared" si="3"/>
        <v>147000000</v>
      </c>
      <c r="U103" s="83" t="s">
        <v>220</v>
      </c>
      <c r="V103" s="83" t="s">
        <v>220</v>
      </c>
      <c r="W103" s="175"/>
      <c r="X103" s="176">
        <v>45847.0</v>
      </c>
      <c r="Y103" s="176">
        <v>46022.0</v>
      </c>
      <c r="Z103" s="177">
        <v>0.0</v>
      </c>
      <c r="AA103" s="170">
        <v>0.0</v>
      </c>
      <c r="AB103" s="176">
        <v>46022.0</v>
      </c>
      <c r="AC103" s="38">
        <f t="shared" si="4"/>
        <v>-265</v>
      </c>
      <c r="AD103" s="27"/>
      <c r="AE103" s="27">
        <v>378.0</v>
      </c>
      <c r="AF103" s="27">
        <v>42.0</v>
      </c>
      <c r="AH103" s="95">
        <f t="shared" si="32"/>
        <v>420</v>
      </c>
      <c r="AI103" s="178">
        <v>420.0</v>
      </c>
      <c r="AJ103" s="88">
        <f t="shared" si="26"/>
        <v>0</v>
      </c>
      <c r="AK103" s="162"/>
      <c r="AL103" s="162"/>
      <c r="AM103" s="162"/>
      <c r="AN103" s="162"/>
      <c r="AO103" s="162">
        <v>0.0</v>
      </c>
      <c r="AP103" s="87">
        <v>420.0</v>
      </c>
      <c r="AQ103" s="162">
        <v>0.0</v>
      </c>
      <c r="AR103" s="82">
        <f t="shared" si="31"/>
        <v>147000000</v>
      </c>
      <c r="AS103" s="82">
        <v>1.44772272E8</v>
      </c>
      <c r="AT103" s="171">
        <f t="shared" si="28"/>
        <v>1</v>
      </c>
      <c r="AU103" s="171">
        <f t="shared" si="23"/>
        <v>0.9848453878</v>
      </c>
      <c r="AV103" s="179" t="s">
        <v>575</v>
      </c>
      <c r="AW103" s="91"/>
      <c r="AX103" s="182">
        <v>46247.0</v>
      </c>
      <c r="AY103" s="42" t="s">
        <v>273</v>
      </c>
      <c r="AZ103" s="92"/>
      <c r="BA103" s="92"/>
      <c r="BB103" s="92"/>
      <c r="BC103" s="46"/>
      <c r="BD103" s="44" t="s">
        <v>274</v>
      </c>
      <c r="BE103" s="257">
        <v>46247.0</v>
      </c>
      <c r="BF103" s="99"/>
      <c r="BG103" s="103"/>
      <c r="BH103" s="99"/>
    </row>
    <row r="104" ht="102.0" customHeight="1">
      <c r="A104" s="50">
        <v>103.0</v>
      </c>
      <c r="B104" s="51">
        <v>2025.0</v>
      </c>
      <c r="C104" s="184" t="s">
        <v>267</v>
      </c>
      <c r="D104" s="185" t="s">
        <v>74</v>
      </c>
      <c r="E104" s="186" t="s">
        <v>75</v>
      </c>
      <c r="F104" s="53" t="s">
        <v>576</v>
      </c>
      <c r="G104" s="184" t="s">
        <v>290</v>
      </c>
      <c r="H104" s="184" t="str">
        <f t="shared" si="30"/>
        <v>LA UNIÓN</v>
      </c>
      <c r="I104" s="184" t="s">
        <v>120</v>
      </c>
      <c r="J104" s="184" t="s">
        <v>577</v>
      </c>
      <c r="K104" s="184" t="s">
        <v>578</v>
      </c>
      <c r="L104" s="184">
        <v>2.0</v>
      </c>
      <c r="M104" s="100">
        <v>500.0</v>
      </c>
      <c r="N104" s="187">
        <v>0.0</v>
      </c>
      <c r="O104" s="113">
        <v>1.75E8</v>
      </c>
      <c r="P104" s="113">
        <v>4.55409988E8</v>
      </c>
      <c r="Q104" s="188">
        <f t="shared" si="2"/>
        <v>630409988</v>
      </c>
      <c r="R104" s="114">
        <v>0.0</v>
      </c>
      <c r="S104" s="189">
        <v>0.0</v>
      </c>
      <c r="T104" s="190">
        <f t="shared" si="3"/>
        <v>630409988</v>
      </c>
      <c r="U104" s="221" t="s">
        <v>220</v>
      </c>
      <c r="V104" s="221" t="s">
        <v>220</v>
      </c>
      <c r="W104" s="192"/>
      <c r="X104" s="193">
        <v>45960.0</v>
      </c>
      <c r="Y104" s="193">
        <v>46021.0</v>
      </c>
      <c r="Z104" s="194">
        <v>3.0</v>
      </c>
      <c r="AA104" s="195">
        <v>0.0</v>
      </c>
      <c r="AB104" s="193">
        <v>46021.0</v>
      </c>
      <c r="AC104" s="66">
        <f t="shared" si="4"/>
        <v>-266</v>
      </c>
      <c r="AD104" s="55"/>
      <c r="AE104" s="55">
        <v>50.0</v>
      </c>
      <c r="AF104" s="55">
        <v>450.0</v>
      </c>
      <c r="AH104" s="95">
        <f t="shared" si="32"/>
        <v>500</v>
      </c>
      <c r="AI104" s="178">
        <v>500.0</v>
      </c>
      <c r="AJ104" s="88">
        <f t="shared" si="26"/>
        <v>0</v>
      </c>
      <c r="AK104" s="187"/>
      <c r="AL104" s="187"/>
      <c r="AM104" s="187"/>
      <c r="AN104" s="187"/>
      <c r="AO104" s="187">
        <v>0.0</v>
      </c>
      <c r="AP104" s="87">
        <v>500.0</v>
      </c>
      <c r="AQ104" s="187">
        <v>0.0</v>
      </c>
      <c r="AR104" s="113">
        <f t="shared" si="31"/>
        <v>175000000</v>
      </c>
      <c r="AS104" s="113">
        <v>1.74979618E8</v>
      </c>
      <c r="AT104" s="198">
        <f t="shared" si="28"/>
        <v>1</v>
      </c>
      <c r="AU104" s="198">
        <f t="shared" si="23"/>
        <v>0.9998835314</v>
      </c>
      <c r="AV104" s="140" t="s">
        <v>579</v>
      </c>
      <c r="AW104" s="74"/>
      <c r="AX104" s="214">
        <v>46183.0</v>
      </c>
      <c r="AY104" s="215" t="s">
        <v>273</v>
      </c>
      <c r="AZ104" s="210" t="s">
        <v>68</v>
      </c>
      <c r="BA104" s="210" t="s">
        <v>68</v>
      </c>
      <c r="BB104" s="219" t="s">
        <v>68</v>
      </c>
      <c r="BC104" s="77"/>
      <c r="BD104" s="210" t="s">
        <v>274</v>
      </c>
      <c r="BE104" s="258">
        <v>46234.0</v>
      </c>
      <c r="BF104" s="199"/>
      <c r="BG104" s="118"/>
      <c r="BH104" s="199"/>
    </row>
    <row r="105" ht="102.0" customHeight="1">
      <c r="A105" s="50">
        <v>104.0</v>
      </c>
      <c r="B105" s="51">
        <v>2025.0</v>
      </c>
      <c r="C105" s="184" t="s">
        <v>267</v>
      </c>
      <c r="D105" s="185" t="s">
        <v>74</v>
      </c>
      <c r="E105" s="186" t="s">
        <v>75</v>
      </c>
      <c r="F105" s="53" t="s">
        <v>580</v>
      </c>
      <c r="G105" s="184" t="s">
        <v>281</v>
      </c>
      <c r="H105" s="184" t="str">
        <f t="shared" si="30"/>
        <v>EL PEÑOL</v>
      </c>
      <c r="I105" s="184" t="s">
        <v>120</v>
      </c>
      <c r="J105" s="184" t="s">
        <v>581</v>
      </c>
      <c r="K105" s="184" t="s">
        <v>519</v>
      </c>
      <c r="L105" s="184">
        <v>2.0</v>
      </c>
      <c r="M105" s="100">
        <v>500.0</v>
      </c>
      <c r="N105" s="187">
        <v>0.0</v>
      </c>
      <c r="O105" s="113">
        <v>1.75E8</v>
      </c>
      <c r="P105" s="113">
        <v>2.03125532E8</v>
      </c>
      <c r="Q105" s="188">
        <f t="shared" si="2"/>
        <v>378125532</v>
      </c>
      <c r="R105" s="114">
        <v>0.0</v>
      </c>
      <c r="S105" s="189">
        <v>0.0</v>
      </c>
      <c r="T105" s="190">
        <f t="shared" si="3"/>
        <v>378125532</v>
      </c>
      <c r="U105" s="221" t="s">
        <v>220</v>
      </c>
      <c r="V105" s="221" t="s">
        <v>220</v>
      </c>
      <c r="W105" s="192"/>
      <c r="X105" s="193">
        <v>45960.0</v>
      </c>
      <c r="Y105" s="193">
        <v>46021.0</v>
      </c>
      <c r="Z105" s="194">
        <v>0.0</v>
      </c>
      <c r="AA105" s="195">
        <v>0.0</v>
      </c>
      <c r="AB105" s="193">
        <v>46021.0</v>
      </c>
      <c r="AC105" s="66">
        <f t="shared" si="4"/>
        <v>-266</v>
      </c>
      <c r="AD105" s="55"/>
      <c r="AE105" s="55">
        <v>50.0</v>
      </c>
      <c r="AF105" s="55">
        <v>450.0</v>
      </c>
      <c r="AH105" s="95">
        <f t="shared" si="32"/>
        <v>500</v>
      </c>
      <c r="AI105" s="178">
        <v>500.0</v>
      </c>
      <c r="AJ105" s="88">
        <f t="shared" si="26"/>
        <v>0</v>
      </c>
      <c r="AK105" s="187"/>
      <c r="AL105" s="187"/>
      <c r="AM105" s="187"/>
      <c r="AN105" s="187"/>
      <c r="AO105" s="187">
        <v>0.0</v>
      </c>
      <c r="AP105" s="87">
        <v>500.0</v>
      </c>
      <c r="AQ105" s="187">
        <v>0.0</v>
      </c>
      <c r="AR105" s="113">
        <f t="shared" si="31"/>
        <v>175000000</v>
      </c>
      <c r="AS105" s="113">
        <v>1.52109584E8</v>
      </c>
      <c r="AT105" s="198">
        <f t="shared" si="28"/>
        <v>1</v>
      </c>
      <c r="AU105" s="198">
        <f t="shared" si="23"/>
        <v>0.8691976229</v>
      </c>
      <c r="AV105" s="179" t="s">
        <v>582</v>
      </c>
      <c r="AW105" s="74"/>
      <c r="AX105" s="214">
        <v>46197.0</v>
      </c>
      <c r="AY105" s="215" t="s">
        <v>273</v>
      </c>
      <c r="AZ105" s="210" t="s">
        <v>68</v>
      </c>
      <c r="BA105" s="210" t="s">
        <v>68</v>
      </c>
      <c r="BB105" s="219" t="s">
        <v>68</v>
      </c>
      <c r="BC105" s="77"/>
      <c r="BD105" s="210" t="s">
        <v>274</v>
      </c>
      <c r="BE105" s="218">
        <v>46234.0</v>
      </c>
      <c r="BF105" s="199"/>
      <c r="BG105" s="118"/>
      <c r="BH105" s="199"/>
    </row>
    <row r="106" ht="102.0" customHeight="1">
      <c r="A106" s="21">
        <v>105.0</v>
      </c>
      <c r="B106" s="22">
        <v>2025.0</v>
      </c>
      <c r="C106" s="23" t="s">
        <v>482</v>
      </c>
      <c r="D106" s="80" t="s">
        <v>74</v>
      </c>
      <c r="E106" s="172" t="s">
        <v>75</v>
      </c>
      <c r="F106" s="25" t="s">
        <v>583</v>
      </c>
      <c r="G106" s="172" t="s">
        <v>300</v>
      </c>
      <c r="H106" s="23" t="str">
        <f t="shared" si="30"/>
        <v>SAN CARLOS</v>
      </c>
      <c r="I106" s="23" t="s">
        <v>120</v>
      </c>
      <c r="J106" s="23" t="s">
        <v>584</v>
      </c>
      <c r="K106" s="23" t="s">
        <v>585</v>
      </c>
      <c r="L106" s="23">
        <v>8.0</v>
      </c>
      <c r="M106" s="173">
        <v>500.0</v>
      </c>
      <c r="N106" s="162">
        <v>0.0</v>
      </c>
      <c r="O106" s="82">
        <v>1.75E8</v>
      </c>
      <c r="P106" s="82">
        <v>3.08E8</v>
      </c>
      <c r="Q106" s="163">
        <f t="shared" si="2"/>
        <v>483000000</v>
      </c>
      <c r="R106" s="135">
        <v>0.0</v>
      </c>
      <c r="S106" s="164">
        <v>0.0</v>
      </c>
      <c r="T106" s="165">
        <f t="shared" si="3"/>
        <v>483000000</v>
      </c>
      <c r="U106" s="83" t="s">
        <v>64</v>
      </c>
      <c r="V106" s="83" t="s">
        <v>64</v>
      </c>
      <c r="W106" s="175"/>
      <c r="X106" s="176">
        <v>45965.0</v>
      </c>
      <c r="Y106" s="176">
        <v>46022.0</v>
      </c>
      <c r="Z106" s="177">
        <v>0.0</v>
      </c>
      <c r="AA106" s="170">
        <v>0.0</v>
      </c>
      <c r="AB106" s="176">
        <v>46022.0</v>
      </c>
      <c r="AC106" s="38">
        <f t="shared" si="4"/>
        <v>-265</v>
      </c>
      <c r="AD106" s="27"/>
      <c r="AE106" s="27">
        <v>50.0</v>
      </c>
      <c r="AF106" s="27">
        <v>450.0</v>
      </c>
      <c r="AH106" s="95">
        <f t="shared" si="32"/>
        <v>500</v>
      </c>
      <c r="AI106" s="178">
        <v>500.0</v>
      </c>
      <c r="AJ106" s="88">
        <f t="shared" si="26"/>
        <v>0</v>
      </c>
      <c r="AK106" s="162"/>
      <c r="AL106" s="162"/>
      <c r="AM106" s="162"/>
      <c r="AN106" s="162"/>
      <c r="AO106" s="162">
        <v>0.0</v>
      </c>
      <c r="AP106" s="87">
        <v>500.0</v>
      </c>
      <c r="AQ106" s="162">
        <v>0.0</v>
      </c>
      <c r="AR106" s="82">
        <f t="shared" si="31"/>
        <v>175000000</v>
      </c>
      <c r="AS106" s="82">
        <v>1.61718305E8</v>
      </c>
      <c r="AT106" s="171">
        <f t="shared" si="28"/>
        <v>1</v>
      </c>
      <c r="AU106" s="171">
        <f t="shared" si="23"/>
        <v>0.9241046</v>
      </c>
      <c r="AV106" s="23" t="s">
        <v>586</v>
      </c>
      <c r="AW106" s="91"/>
      <c r="AX106" s="43"/>
      <c r="AY106" s="91"/>
      <c r="AZ106" s="92"/>
      <c r="BA106" s="92"/>
      <c r="BB106" s="92"/>
      <c r="BC106" s="46"/>
      <c r="BD106" s="92"/>
      <c r="BE106" s="47"/>
      <c r="BF106" s="99"/>
      <c r="BG106" s="103"/>
      <c r="BH106" s="99"/>
    </row>
    <row r="107" ht="102.0" customHeight="1">
      <c r="A107" s="50">
        <v>106.0</v>
      </c>
      <c r="B107" s="51">
        <v>2025.0</v>
      </c>
      <c r="C107" s="184" t="s">
        <v>267</v>
      </c>
      <c r="D107" s="185" t="s">
        <v>74</v>
      </c>
      <c r="E107" s="186" t="s">
        <v>75</v>
      </c>
      <c r="F107" s="53" t="s">
        <v>587</v>
      </c>
      <c r="G107" s="184" t="s">
        <v>295</v>
      </c>
      <c r="H107" s="184" t="str">
        <f t="shared" si="30"/>
        <v>NARIÑO</v>
      </c>
      <c r="I107" s="184" t="s">
        <v>120</v>
      </c>
      <c r="J107" s="184" t="s">
        <v>588</v>
      </c>
      <c r="K107" s="184" t="s">
        <v>589</v>
      </c>
      <c r="L107" s="184">
        <v>2.0</v>
      </c>
      <c r="M107" s="100">
        <v>170.0</v>
      </c>
      <c r="N107" s="187">
        <v>0.0</v>
      </c>
      <c r="O107" s="113">
        <v>5.95E7</v>
      </c>
      <c r="P107" s="113">
        <v>5.25E7</v>
      </c>
      <c r="Q107" s="188">
        <f t="shared" si="2"/>
        <v>112000000</v>
      </c>
      <c r="R107" s="114">
        <v>0.0</v>
      </c>
      <c r="S107" s="189">
        <v>0.0</v>
      </c>
      <c r="T107" s="190">
        <f t="shared" si="3"/>
        <v>112000000</v>
      </c>
      <c r="U107" s="221" t="s">
        <v>220</v>
      </c>
      <c r="V107" s="221" t="s">
        <v>220</v>
      </c>
      <c r="W107" s="192"/>
      <c r="X107" s="193">
        <v>45960.0</v>
      </c>
      <c r="Y107" s="193">
        <v>46021.0</v>
      </c>
      <c r="Z107" s="194">
        <v>0.0</v>
      </c>
      <c r="AA107" s="195">
        <v>0.0</v>
      </c>
      <c r="AB107" s="193">
        <v>46021.0</v>
      </c>
      <c r="AC107" s="66">
        <f t="shared" si="4"/>
        <v>-266</v>
      </c>
      <c r="AD107" s="55"/>
      <c r="AE107" s="55">
        <v>17.0</v>
      </c>
      <c r="AF107" s="55">
        <v>153.0</v>
      </c>
      <c r="AH107" s="95">
        <f t="shared" si="32"/>
        <v>170</v>
      </c>
      <c r="AI107" s="178">
        <v>170.0</v>
      </c>
      <c r="AJ107" s="88">
        <f t="shared" si="26"/>
        <v>0</v>
      </c>
      <c r="AK107" s="187"/>
      <c r="AL107" s="187"/>
      <c r="AM107" s="187"/>
      <c r="AN107" s="187"/>
      <c r="AO107" s="187">
        <v>0.0</v>
      </c>
      <c r="AP107" s="87">
        <v>170.0</v>
      </c>
      <c r="AQ107" s="187">
        <v>0.0</v>
      </c>
      <c r="AR107" s="113">
        <f t="shared" si="31"/>
        <v>59500000</v>
      </c>
      <c r="AS107" s="113">
        <v>5.9437462E7</v>
      </c>
      <c r="AT107" s="198">
        <f t="shared" si="28"/>
        <v>1</v>
      </c>
      <c r="AU107" s="198">
        <f t="shared" si="23"/>
        <v>0.9989489412</v>
      </c>
      <c r="AV107" s="184" t="s">
        <v>590</v>
      </c>
      <c r="AW107" s="74"/>
      <c r="AX107" s="75"/>
      <c r="AY107" s="74"/>
      <c r="AZ107" s="76"/>
      <c r="BA107" s="76"/>
      <c r="BB107" s="76"/>
      <c r="BC107" s="77"/>
      <c r="BD107" s="76"/>
      <c r="BE107" s="117"/>
      <c r="BF107" s="199"/>
      <c r="BG107" s="118"/>
      <c r="BH107" s="199"/>
    </row>
    <row r="108" ht="102.0" customHeight="1">
      <c r="A108" s="21">
        <v>107.0</v>
      </c>
      <c r="B108" s="22">
        <v>2025.0</v>
      </c>
      <c r="C108" s="23" t="s">
        <v>389</v>
      </c>
      <c r="D108" s="80" t="s">
        <v>74</v>
      </c>
      <c r="E108" s="172" t="s">
        <v>75</v>
      </c>
      <c r="F108" s="25" t="s">
        <v>591</v>
      </c>
      <c r="G108" s="23" t="s">
        <v>592</v>
      </c>
      <c r="H108" s="23" t="str">
        <f t="shared" si="30"/>
        <v>SAN ANDRÉS DE CUERQUIA</v>
      </c>
      <c r="I108" s="23" t="s">
        <v>174</v>
      </c>
      <c r="J108" s="23" t="s">
        <v>593</v>
      </c>
      <c r="K108" s="23" t="s">
        <v>594</v>
      </c>
      <c r="L108" s="23">
        <v>6.0</v>
      </c>
      <c r="M108" s="173">
        <v>1000.0</v>
      </c>
      <c r="N108" s="162">
        <v>0.0</v>
      </c>
      <c r="O108" s="82">
        <v>3.5E8</v>
      </c>
      <c r="P108" s="82">
        <v>5.94865195E8</v>
      </c>
      <c r="Q108" s="163">
        <f t="shared" si="2"/>
        <v>944865195</v>
      </c>
      <c r="R108" s="164">
        <v>0.0</v>
      </c>
      <c r="S108" s="164">
        <v>0.0</v>
      </c>
      <c r="T108" s="165">
        <f t="shared" si="3"/>
        <v>944865195</v>
      </c>
      <c r="U108" s="174" t="s">
        <v>64</v>
      </c>
      <c r="V108" s="174" t="s">
        <v>64</v>
      </c>
      <c r="W108" s="175"/>
      <c r="X108" s="176">
        <v>45821.0</v>
      </c>
      <c r="Y108" s="176">
        <v>46004.0</v>
      </c>
      <c r="Z108" s="177">
        <v>0.0</v>
      </c>
      <c r="AA108" s="170">
        <v>0.0</v>
      </c>
      <c r="AB108" s="176">
        <v>46004.0</v>
      </c>
      <c r="AC108" s="38">
        <f t="shared" si="4"/>
        <v>-283</v>
      </c>
      <c r="AD108" s="27"/>
      <c r="AE108" s="27">
        <v>600.0</v>
      </c>
      <c r="AF108" s="27">
        <v>400.0</v>
      </c>
      <c r="AH108" s="95">
        <f t="shared" si="32"/>
        <v>1000</v>
      </c>
      <c r="AI108" s="87">
        <v>1000.0</v>
      </c>
      <c r="AJ108" s="88">
        <f t="shared" si="26"/>
        <v>0</v>
      </c>
      <c r="AK108" s="162"/>
      <c r="AL108" s="162"/>
      <c r="AM108" s="162"/>
      <c r="AN108" s="162"/>
      <c r="AO108" s="162">
        <v>0.0</v>
      </c>
      <c r="AP108" s="87">
        <v>1000.0</v>
      </c>
      <c r="AQ108" s="162">
        <v>0.0</v>
      </c>
      <c r="AR108" s="82">
        <f t="shared" si="31"/>
        <v>350000000</v>
      </c>
      <c r="AS108" s="82">
        <v>3.11616578E8</v>
      </c>
      <c r="AT108" s="171">
        <f t="shared" si="28"/>
        <v>1</v>
      </c>
      <c r="AU108" s="171">
        <f t="shared" si="23"/>
        <v>0.89033308</v>
      </c>
      <c r="AV108" s="179" t="s">
        <v>595</v>
      </c>
      <c r="AW108" s="91"/>
      <c r="AX108" s="43"/>
      <c r="AY108" s="91"/>
      <c r="AZ108" s="92"/>
      <c r="BA108" s="92"/>
      <c r="BB108" s="92"/>
      <c r="BC108" s="46"/>
      <c r="BD108" s="92"/>
      <c r="BE108" s="47"/>
      <c r="BF108" s="99"/>
      <c r="BG108" s="103" t="s">
        <v>396</v>
      </c>
      <c r="BH108" s="99"/>
    </row>
    <row r="109" ht="102.0" customHeight="1">
      <c r="A109" s="21">
        <v>108.0</v>
      </c>
      <c r="B109" s="22">
        <v>2025.0</v>
      </c>
      <c r="C109" s="23" t="s">
        <v>389</v>
      </c>
      <c r="D109" s="80" t="s">
        <v>74</v>
      </c>
      <c r="E109" s="172" t="s">
        <v>75</v>
      </c>
      <c r="F109" s="25" t="s">
        <v>596</v>
      </c>
      <c r="G109" s="23" t="s">
        <v>398</v>
      </c>
      <c r="H109" s="23" t="str">
        <f t="shared" si="30"/>
        <v>BRICEÑO</v>
      </c>
      <c r="I109" s="23" t="s">
        <v>174</v>
      </c>
      <c r="J109" s="23" t="s">
        <v>597</v>
      </c>
      <c r="K109" s="23" t="s">
        <v>598</v>
      </c>
      <c r="L109" s="23">
        <v>2.0</v>
      </c>
      <c r="M109" s="173">
        <v>300.0</v>
      </c>
      <c r="N109" s="162">
        <v>0.0</v>
      </c>
      <c r="O109" s="82">
        <v>1.05E8</v>
      </c>
      <c r="P109" s="82">
        <v>1.1817145E8</v>
      </c>
      <c r="Q109" s="163">
        <f t="shared" si="2"/>
        <v>223171450</v>
      </c>
      <c r="R109" s="135">
        <v>0.0</v>
      </c>
      <c r="S109" s="164">
        <v>0.0</v>
      </c>
      <c r="T109" s="165">
        <f t="shared" si="3"/>
        <v>223171450</v>
      </c>
      <c r="U109" s="83" t="s">
        <v>220</v>
      </c>
      <c r="V109" s="83" t="s">
        <v>220</v>
      </c>
      <c r="W109" s="175"/>
      <c r="X109" s="176">
        <v>45959.0</v>
      </c>
      <c r="Y109" s="176">
        <v>46021.0</v>
      </c>
      <c r="Z109" s="177">
        <v>0.0</v>
      </c>
      <c r="AA109" s="170">
        <v>0.0</v>
      </c>
      <c r="AB109" s="176">
        <v>46021.0</v>
      </c>
      <c r="AC109" s="38">
        <f t="shared" si="4"/>
        <v>-266</v>
      </c>
      <c r="AD109" s="27"/>
      <c r="AE109" s="27">
        <v>50.0</v>
      </c>
      <c r="AF109" s="27">
        <v>250.0</v>
      </c>
      <c r="AH109" s="95">
        <f t="shared" si="32"/>
        <v>300</v>
      </c>
      <c r="AI109" s="178">
        <v>300.0</v>
      </c>
      <c r="AJ109" s="88">
        <f t="shared" si="26"/>
        <v>0</v>
      </c>
      <c r="AK109" s="162"/>
      <c r="AL109" s="162"/>
      <c r="AM109" s="162"/>
      <c r="AN109" s="162"/>
      <c r="AO109" s="162">
        <v>0.0</v>
      </c>
      <c r="AP109" s="87">
        <v>300.0</v>
      </c>
      <c r="AQ109" s="162">
        <v>0.0</v>
      </c>
      <c r="AR109" s="82">
        <f t="shared" si="31"/>
        <v>105000000</v>
      </c>
      <c r="AS109" s="82">
        <v>9.9252795E7</v>
      </c>
      <c r="AT109" s="171">
        <f t="shared" si="28"/>
        <v>1</v>
      </c>
      <c r="AU109" s="171">
        <f t="shared" si="23"/>
        <v>0.9452647143</v>
      </c>
      <c r="AV109" s="179" t="s">
        <v>599</v>
      </c>
      <c r="AW109" s="91"/>
      <c r="AX109" s="43"/>
      <c r="AY109" s="91"/>
      <c r="AZ109" s="92"/>
      <c r="BA109" s="92"/>
      <c r="BB109" s="92"/>
      <c r="BC109" s="46"/>
      <c r="BD109" s="92"/>
      <c r="BE109" s="47"/>
      <c r="BF109" s="99"/>
      <c r="BG109" s="103" t="s">
        <v>396</v>
      </c>
      <c r="BH109" s="99"/>
    </row>
    <row r="110" ht="94.5" customHeight="1">
      <c r="A110" s="21">
        <v>109.0</v>
      </c>
      <c r="B110" s="22">
        <v>2025.0</v>
      </c>
      <c r="C110" s="23" t="s">
        <v>389</v>
      </c>
      <c r="D110" s="80" t="s">
        <v>74</v>
      </c>
      <c r="E110" s="172" t="s">
        <v>75</v>
      </c>
      <c r="F110" s="25" t="s">
        <v>600</v>
      </c>
      <c r="G110" s="23" t="s">
        <v>424</v>
      </c>
      <c r="H110" s="23" t="str">
        <f t="shared" si="30"/>
        <v>TOLEDO</v>
      </c>
      <c r="I110" s="23" t="s">
        <v>174</v>
      </c>
      <c r="J110" s="23" t="s">
        <v>601</v>
      </c>
      <c r="K110" s="23" t="s">
        <v>602</v>
      </c>
      <c r="L110" s="23">
        <v>2.0</v>
      </c>
      <c r="M110" s="173">
        <v>200.0</v>
      </c>
      <c r="N110" s="162">
        <v>0.0</v>
      </c>
      <c r="O110" s="82">
        <v>7.0E7</v>
      </c>
      <c r="P110" s="82">
        <v>2.26832319E8</v>
      </c>
      <c r="Q110" s="163">
        <f t="shared" si="2"/>
        <v>296832319</v>
      </c>
      <c r="R110" s="135">
        <v>0.0</v>
      </c>
      <c r="S110" s="164">
        <v>0.0</v>
      </c>
      <c r="T110" s="165">
        <f t="shared" si="3"/>
        <v>296832319</v>
      </c>
      <c r="U110" s="83" t="s">
        <v>64</v>
      </c>
      <c r="V110" s="83" t="s">
        <v>64</v>
      </c>
      <c r="W110" s="175"/>
      <c r="X110" s="176">
        <v>45959.0</v>
      </c>
      <c r="Y110" s="176">
        <v>46021.0</v>
      </c>
      <c r="Z110" s="177">
        <v>0.0</v>
      </c>
      <c r="AA110" s="170">
        <v>0.0</v>
      </c>
      <c r="AB110" s="176">
        <v>46021.0</v>
      </c>
      <c r="AC110" s="38">
        <f t="shared" si="4"/>
        <v>-266</v>
      </c>
      <c r="AD110" s="27"/>
      <c r="AE110" s="81">
        <v>10.0</v>
      </c>
      <c r="AF110" s="81">
        <v>190.0</v>
      </c>
      <c r="AH110" s="95">
        <f t="shared" si="32"/>
        <v>200</v>
      </c>
      <c r="AI110" s="197">
        <v>200.0</v>
      </c>
      <c r="AJ110" s="88">
        <f t="shared" si="26"/>
        <v>0</v>
      </c>
      <c r="AK110" s="259"/>
      <c r="AL110" s="259"/>
      <c r="AM110" s="259"/>
      <c r="AN110" s="259"/>
      <c r="AO110" s="259">
        <v>0.0</v>
      </c>
      <c r="AP110" s="153">
        <v>200.0</v>
      </c>
      <c r="AQ110" s="162">
        <v>0.0</v>
      </c>
      <c r="AR110" s="82">
        <f t="shared" si="31"/>
        <v>70000000</v>
      </c>
      <c r="AS110" s="82">
        <v>6.9981477E7</v>
      </c>
      <c r="AT110" s="171">
        <f t="shared" si="28"/>
        <v>1</v>
      </c>
      <c r="AU110" s="171">
        <f t="shared" si="23"/>
        <v>0.9997353857</v>
      </c>
      <c r="AV110" s="179" t="s">
        <v>603</v>
      </c>
      <c r="AW110" s="91"/>
      <c r="AX110" s="43"/>
      <c r="AY110" s="91"/>
      <c r="AZ110" s="92"/>
      <c r="BA110" s="92"/>
      <c r="BB110" s="92"/>
      <c r="BC110" s="46"/>
      <c r="BD110" s="92"/>
      <c r="BE110" s="98"/>
      <c r="BF110" s="99"/>
      <c r="BG110" s="103" t="s">
        <v>396</v>
      </c>
      <c r="BH110" s="99"/>
    </row>
    <row r="111" ht="93.75" customHeight="1">
      <c r="A111" s="21">
        <v>110.0</v>
      </c>
      <c r="B111" s="22">
        <v>2025.0</v>
      </c>
      <c r="C111" s="23" t="s">
        <v>604</v>
      </c>
      <c r="D111" s="80" t="s">
        <v>74</v>
      </c>
      <c r="E111" s="23" t="s">
        <v>544</v>
      </c>
      <c r="F111" s="25" t="s">
        <v>605</v>
      </c>
      <c r="G111" s="23" t="s">
        <v>606</v>
      </c>
      <c r="H111" s="23" t="s">
        <v>607</v>
      </c>
      <c r="I111" s="23" t="s">
        <v>78</v>
      </c>
      <c r="J111" s="23" t="s">
        <v>608</v>
      </c>
      <c r="K111" s="23" t="s">
        <v>609</v>
      </c>
      <c r="L111" s="23">
        <v>1.5</v>
      </c>
      <c r="M111" s="173">
        <v>100.0</v>
      </c>
      <c r="N111" s="162">
        <v>0.0</v>
      </c>
      <c r="O111" s="82">
        <v>1.20911434E8</v>
      </c>
      <c r="P111" s="82">
        <v>1.798656E7</v>
      </c>
      <c r="Q111" s="163">
        <f t="shared" si="2"/>
        <v>138897994</v>
      </c>
      <c r="R111" s="164">
        <v>0.0</v>
      </c>
      <c r="S111" s="164">
        <v>0.0</v>
      </c>
      <c r="T111" s="165">
        <f t="shared" si="3"/>
        <v>138897994</v>
      </c>
      <c r="U111" s="174" t="s">
        <v>64</v>
      </c>
      <c r="V111" s="174" t="s">
        <v>64</v>
      </c>
      <c r="W111" s="175"/>
      <c r="X111" s="176">
        <v>46035.0</v>
      </c>
      <c r="Y111" s="176">
        <v>46081.0</v>
      </c>
      <c r="Z111" s="177">
        <v>1.0</v>
      </c>
      <c r="AA111" s="160"/>
      <c r="AB111" s="176">
        <v>46116.0</v>
      </c>
      <c r="AC111" s="38">
        <f t="shared" si="4"/>
        <v>-171</v>
      </c>
      <c r="AD111" s="27"/>
      <c r="AE111" s="27">
        <v>100.0</v>
      </c>
      <c r="AF111" s="27"/>
      <c r="AH111" s="95">
        <f>AD111+AE111+AF111</f>
        <v>100</v>
      </c>
      <c r="AI111" s="178">
        <v>100.0</v>
      </c>
      <c r="AJ111" s="88">
        <f t="shared" si="26"/>
        <v>0</v>
      </c>
      <c r="AK111" s="162"/>
      <c r="AL111" s="162"/>
      <c r="AM111" s="162"/>
      <c r="AN111" s="162"/>
      <c r="AO111" s="162">
        <v>0.0</v>
      </c>
      <c r="AP111" s="87">
        <v>100.0</v>
      </c>
      <c r="AQ111" s="162">
        <v>0.0</v>
      </c>
      <c r="AR111" s="82">
        <v>1.20911434E8</v>
      </c>
      <c r="AS111" s="82">
        <f>114865861+6045573</f>
        <v>120911434</v>
      </c>
      <c r="AT111" s="171">
        <f t="shared" si="28"/>
        <v>1</v>
      </c>
      <c r="AU111" s="171">
        <f t="shared" si="23"/>
        <v>1</v>
      </c>
      <c r="AV111" s="260" t="s">
        <v>610</v>
      </c>
      <c r="AW111" s="74"/>
      <c r="AX111" s="75"/>
      <c r="AY111" s="74"/>
      <c r="AZ111" s="76"/>
      <c r="BA111" s="76"/>
      <c r="BB111" s="76"/>
      <c r="BC111" s="222"/>
      <c r="BD111" s="76"/>
      <c r="BE111" s="76"/>
      <c r="BF111" s="199"/>
      <c r="BG111" s="199"/>
      <c r="BH111" s="199"/>
    </row>
    <row r="112" ht="72.0" customHeight="1">
      <c r="A112" s="21">
        <v>111.0</v>
      </c>
      <c r="B112" s="22">
        <v>2025.0</v>
      </c>
      <c r="C112" s="23" t="s">
        <v>604</v>
      </c>
      <c r="D112" s="80" t="s">
        <v>74</v>
      </c>
      <c r="E112" s="23" t="s">
        <v>544</v>
      </c>
      <c r="F112" s="25" t="s">
        <v>611</v>
      </c>
      <c r="G112" s="23" t="s">
        <v>606</v>
      </c>
      <c r="H112" s="23" t="s">
        <v>612</v>
      </c>
      <c r="I112" s="23" t="s">
        <v>78</v>
      </c>
      <c r="J112" s="23" t="s">
        <v>613</v>
      </c>
      <c r="K112" s="23" t="s">
        <v>614</v>
      </c>
      <c r="L112" s="23">
        <v>1.5</v>
      </c>
      <c r="M112" s="173">
        <v>100.0</v>
      </c>
      <c r="N112" s="162">
        <v>0.0</v>
      </c>
      <c r="O112" s="82">
        <v>1.2066826E8</v>
      </c>
      <c r="P112" s="82">
        <v>1.8199514E7</v>
      </c>
      <c r="Q112" s="163">
        <f t="shared" si="2"/>
        <v>138867774</v>
      </c>
      <c r="R112" s="164">
        <v>0.0</v>
      </c>
      <c r="S112" s="164">
        <v>0.0</v>
      </c>
      <c r="T112" s="165">
        <f t="shared" si="3"/>
        <v>138867774</v>
      </c>
      <c r="U112" s="261" t="s">
        <v>64</v>
      </c>
      <c r="V112" s="261" t="s">
        <v>64</v>
      </c>
      <c r="W112" s="175"/>
      <c r="X112" s="176">
        <v>46035.0</v>
      </c>
      <c r="Y112" s="176">
        <v>46081.0</v>
      </c>
      <c r="Z112" s="177"/>
      <c r="AA112" s="160">
        <v>2.0</v>
      </c>
      <c r="AB112" s="176">
        <v>46154.0</v>
      </c>
      <c r="AC112" s="38">
        <f t="shared" si="4"/>
        <v>-133</v>
      </c>
      <c r="AD112" s="27"/>
      <c r="AE112" s="27"/>
      <c r="AF112" s="27">
        <v>100.0</v>
      </c>
      <c r="AH112" s="95">
        <f>AD112+AE112+AF112+AG112</f>
        <v>100</v>
      </c>
      <c r="AI112" s="178">
        <v>100.0</v>
      </c>
      <c r="AJ112" s="88">
        <f t="shared" si="26"/>
        <v>0</v>
      </c>
      <c r="AK112" s="162"/>
      <c r="AL112" s="162"/>
      <c r="AM112" s="162"/>
      <c r="AN112" s="162"/>
      <c r="AO112" s="162">
        <v>0.0</v>
      </c>
      <c r="AP112" s="87">
        <v>100.0</v>
      </c>
      <c r="AQ112" s="162">
        <v>0.0</v>
      </c>
      <c r="AR112" s="82">
        <v>1.2066826E8</v>
      </c>
      <c r="AS112" s="82">
        <f>36200478+78434369</f>
        <v>114634847</v>
      </c>
      <c r="AT112" s="171">
        <f t="shared" si="28"/>
        <v>1</v>
      </c>
      <c r="AU112" s="171">
        <f t="shared" si="23"/>
        <v>0.95</v>
      </c>
      <c r="AV112" s="262" t="s">
        <v>615</v>
      </c>
      <c r="AW112" s="74"/>
      <c r="AX112" s="75"/>
      <c r="AY112" s="74"/>
      <c r="AZ112" s="76"/>
      <c r="BA112" s="76"/>
      <c r="BB112" s="76"/>
      <c r="BC112" s="77"/>
      <c r="BD112" s="76"/>
      <c r="BE112" s="117"/>
      <c r="BF112" s="199"/>
      <c r="BG112" s="199"/>
      <c r="BH112" s="199"/>
    </row>
    <row r="113" ht="76.5" customHeight="1">
      <c r="A113" s="21">
        <v>112.0</v>
      </c>
      <c r="B113" s="22">
        <v>2025.0</v>
      </c>
      <c r="C113" s="23" t="s">
        <v>616</v>
      </c>
      <c r="D113" s="80" t="s">
        <v>74</v>
      </c>
      <c r="E113" s="23" t="s">
        <v>544</v>
      </c>
      <c r="F113" s="25" t="s">
        <v>617</v>
      </c>
      <c r="G113" s="23" t="s">
        <v>335</v>
      </c>
      <c r="H113" s="23" t="s">
        <v>618</v>
      </c>
      <c r="I113" s="23" t="s">
        <v>104</v>
      </c>
      <c r="J113" s="23" t="s">
        <v>619</v>
      </c>
      <c r="K113" s="23" t="s">
        <v>620</v>
      </c>
      <c r="L113" s="23">
        <v>1.5</v>
      </c>
      <c r="M113" s="173">
        <v>100.0</v>
      </c>
      <c r="N113" s="162">
        <v>0.0</v>
      </c>
      <c r="O113" s="82">
        <v>1.225E8</v>
      </c>
      <c r="P113" s="82">
        <v>1.8934439E7</v>
      </c>
      <c r="Q113" s="163">
        <f t="shared" si="2"/>
        <v>141434439</v>
      </c>
      <c r="R113" s="164">
        <v>0.0</v>
      </c>
      <c r="S113" s="164">
        <v>0.0</v>
      </c>
      <c r="T113" s="165">
        <f t="shared" si="3"/>
        <v>141434439</v>
      </c>
      <c r="U113" s="83" t="s">
        <v>64</v>
      </c>
      <c r="V113" s="174" t="s">
        <v>64</v>
      </c>
      <c r="W113" s="175"/>
      <c r="X113" s="176">
        <v>46055.0</v>
      </c>
      <c r="Y113" s="176">
        <v>46098.0</v>
      </c>
      <c r="Z113" s="177">
        <v>0.0</v>
      </c>
      <c r="AA113" s="170">
        <v>0.0</v>
      </c>
      <c r="AB113" s="176">
        <v>46098.0</v>
      </c>
      <c r="AC113" s="38">
        <f t="shared" si="4"/>
        <v>-189</v>
      </c>
      <c r="AD113" s="27"/>
      <c r="AE113" s="27">
        <v>100.0</v>
      </c>
      <c r="AF113" s="27"/>
      <c r="AH113" s="95">
        <f t="shared" ref="AH113:AH146" si="33">AD113+AE113+AF113</f>
        <v>100</v>
      </c>
      <c r="AI113" s="178">
        <v>100.0</v>
      </c>
      <c r="AJ113" s="88">
        <f t="shared" si="26"/>
        <v>0</v>
      </c>
      <c r="AK113" s="263"/>
      <c r="AL113" s="263"/>
      <c r="AM113" s="263"/>
      <c r="AN113" s="263"/>
      <c r="AO113" s="263">
        <v>0.0</v>
      </c>
      <c r="AP113" s="87">
        <v>100.0</v>
      </c>
      <c r="AQ113" s="263">
        <v>0.0</v>
      </c>
      <c r="AR113" s="82">
        <v>1.225E8</v>
      </c>
      <c r="AS113" s="82">
        <f>36662763+62326696</f>
        <v>98989459</v>
      </c>
      <c r="AT113" s="171">
        <f t="shared" si="28"/>
        <v>1</v>
      </c>
      <c r="AU113" s="171">
        <f t="shared" si="23"/>
        <v>0.8080772163</v>
      </c>
      <c r="AV113" s="23" t="s">
        <v>621</v>
      </c>
      <c r="AW113" s="74"/>
      <c r="AX113" s="75"/>
      <c r="AY113" s="74"/>
      <c r="AZ113" s="76"/>
      <c r="BA113" s="76"/>
      <c r="BB113" s="76"/>
      <c r="BC113" s="77"/>
      <c r="BD113" s="76"/>
      <c r="BE113" s="117"/>
      <c r="BF113" s="199"/>
      <c r="BG113" s="199"/>
      <c r="BH113" s="199"/>
    </row>
    <row r="114" ht="78.0" customHeight="1">
      <c r="A114" s="21">
        <v>113.0</v>
      </c>
      <c r="B114" s="22">
        <v>2025.0</v>
      </c>
      <c r="C114" s="23" t="s">
        <v>616</v>
      </c>
      <c r="D114" s="80" t="s">
        <v>74</v>
      </c>
      <c r="E114" s="23" t="s">
        <v>544</v>
      </c>
      <c r="F114" s="25" t="s">
        <v>622</v>
      </c>
      <c r="G114" s="23" t="s">
        <v>269</v>
      </c>
      <c r="H114" s="23" t="s">
        <v>623</v>
      </c>
      <c r="I114" s="23" t="s">
        <v>120</v>
      </c>
      <c r="J114" s="23" t="s">
        <v>624</v>
      </c>
      <c r="K114" s="23" t="s">
        <v>625</v>
      </c>
      <c r="L114" s="23">
        <v>1.5</v>
      </c>
      <c r="M114" s="173">
        <v>200.0</v>
      </c>
      <c r="N114" s="162">
        <v>0.0</v>
      </c>
      <c r="O114" s="82">
        <v>2.09935716E8</v>
      </c>
      <c r="P114" s="82">
        <v>2.9492981E7</v>
      </c>
      <c r="Q114" s="163">
        <f t="shared" si="2"/>
        <v>239428697</v>
      </c>
      <c r="R114" s="164">
        <v>0.0</v>
      </c>
      <c r="S114" s="164">
        <v>0.0</v>
      </c>
      <c r="T114" s="165">
        <f t="shared" si="3"/>
        <v>239428697</v>
      </c>
      <c r="U114" s="83" t="s">
        <v>64</v>
      </c>
      <c r="V114" s="174" t="s">
        <v>64</v>
      </c>
      <c r="W114" s="175"/>
      <c r="X114" s="176">
        <v>46055.0</v>
      </c>
      <c r="Y114" s="176">
        <v>46098.0</v>
      </c>
      <c r="Z114" s="177">
        <v>0.0</v>
      </c>
      <c r="AA114" s="170">
        <v>0.0</v>
      </c>
      <c r="AB114" s="176">
        <v>46098.0</v>
      </c>
      <c r="AC114" s="38">
        <f t="shared" si="4"/>
        <v>-189</v>
      </c>
      <c r="AD114" s="27"/>
      <c r="AE114" s="27">
        <v>200.0</v>
      </c>
      <c r="AF114" s="27"/>
      <c r="AH114" s="95">
        <f t="shared" si="33"/>
        <v>200</v>
      </c>
      <c r="AI114" s="178">
        <v>200.0</v>
      </c>
      <c r="AJ114" s="88">
        <f t="shared" si="26"/>
        <v>0</v>
      </c>
      <c r="AK114" s="263"/>
      <c r="AL114" s="263"/>
      <c r="AM114" s="263"/>
      <c r="AN114" s="263"/>
      <c r="AO114" s="263">
        <v>0.0</v>
      </c>
      <c r="AP114" s="87">
        <v>200.0</v>
      </c>
      <c r="AQ114" s="263">
        <v>0.0</v>
      </c>
      <c r="AR114" s="82">
        <v>2.09935716E8</v>
      </c>
      <c r="AS114" s="82">
        <f>62980715+104967858</f>
        <v>167948573</v>
      </c>
      <c r="AT114" s="171">
        <f t="shared" si="28"/>
        <v>1</v>
      </c>
      <c r="AU114" s="171">
        <f t="shared" si="23"/>
        <v>0.800000001</v>
      </c>
      <c r="AV114" s="240" t="s">
        <v>626</v>
      </c>
      <c r="AW114" s="74"/>
      <c r="AX114" s="75"/>
      <c r="AY114" s="74"/>
      <c r="AZ114" s="76"/>
      <c r="BA114" s="76"/>
      <c r="BB114" s="76"/>
      <c r="BC114" s="77"/>
      <c r="BD114" s="76"/>
      <c r="BE114" s="76"/>
      <c r="BF114" s="199"/>
      <c r="BG114" s="199"/>
      <c r="BH114" s="199"/>
    </row>
    <row r="115" ht="87.75" customHeight="1">
      <c r="A115" s="21">
        <v>114.0</v>
      </c>
      <c r="B115" s="22">
        <v>2025.0</v>
      </c>
      <c r="C115" s="23" t="s">
        <v>604</v>
      </c>
      <c r="D115" s="80" t="s">
        <v>74</v>
      </c>
      <c r="E115" s="23" t="s">
        <v>544</v>
      </c>
      <c r="F115" s="25" t="s">
        <v>627</v>
      </c>
      <c r="G115" s="23" t="s">
        <v>391</v>
      </c>
      <c r="H115" s="23" t="s">
        <v>628</v>
      </c>
      <c r="I115" s="23" t="s">
        <v>78</v>
      </c>
      <c r="J115" s="23" t="s">
        <v>629</v>
      </c>
      <c r="K115" s="23" t="s">
        <v>630</v>
      </c>
      <c r="L115" s="23">
        <v>1.5</v>
      </c>
      <c r="M115" s="173">
        <v>200.0</v>
      </c>
      <c r="N115" s="162">
        <v>0.0</v>
      </c>
      <c r="O115" s="82">
        <v>2.2302269E8</v>
      </c>
      <c r="P115" s="82">
        <v>2.4056079E7</v>
      </c>
      <c r="Q115" s="163">
        <f t="shared" si="2"/>
        <v>247078769</v>
      </c>
      <c r="R115" s="164">
        <v>0.0</v>
      </c>
      <c r="S115" s="164">
        <v>0.0</v>
      </c>
      <c r="T115" s="165">
        <f t="shared" si="3"/>
        <v>247078769</v>
      </c>
      <c r="U115" s="174" t="s">
        <v>64</v>
      </c>
      <c r="V115" s="174" t="s">
        <v>64</v>
      </c>
      <c r="W115" s="175"/>
      <c r="X115" s="176">
        <v>46035.0</v>
      </c>
      <c r="Y115" s="176">
        <v>46081.0</v>
      </c>
      <c r="Z115" s="177">
        <v>0.0</v>
      </c>
      <c r="AA115" s="170">
        <v>0.0</v>
      </c>
      <c r="AB115" s="176">
        <v>46081.0</v>
      </c>
      <c r="AC115" s="38">
        <f t="shared" si="4"/>
        <v>-206</v>
      </c>
      <c r="AD115" s="27"/>
      <c r="AE115" s="27">
        <v>200.0</v>
      </c>
      <c r="AF115" s="27"/>
      <c r="AH115" s="95">
        <f t="shared" si="33"/>
        <v>200</v>
      </c>
      <c r="AI115" s="178">
        <v>200.0</v>
      </c>
      <c r="AJ115" s="88">
        <f t="shared" si="26"/>
        <v>0</v>
      </c>
      <c r="AK115" s="162"/>
      <c r="AL115" s="162"/>
      <c r="AM115" s="162"/>
      <c r="AN115" s="162"/>
      <c r="AO115" s="162">
        <v>0.0</v>
      </c>
      <c r="AP115" s="87">
        <v>200.0</v>
      </c>
      <c r="AQ115" s="162">
        <v>0.0</v>
      </c>
      <c r="AR115" s="82">
        <v>2.2302269E8</v>
      </c>
      <c r="AS115" s="144">
        <f>66906807+144964748+11017878</f>
        <v>222889433</v>
      </c>
      <c r="AT115" s="171">
        <f t="shared" si="28"/>
        <v>1</v>
      </c>
      <c r="AU115" s="238">
        <f t="shared" si="23"/>
        <v>0.9994024958</v>
      </c>
      <c r="AV115" s="253" t="s">
        <v>631</v>
      </c>
      <c r="AW115" s="74"/>
      <c r="AX115" s="75"/>
      <c r="AY115" s="74"/>
      <c r="AZ115" s="76"/>
      <c r="BA115" s="76"/>
      <c r="BB115" s="76"/>
      <c r="BC115" s="222"/>
      <c r="BD115" s="76"/>
      <c r="BE115" s="76"/>
      <c r="BF115" s="199"/>
      <c r="BG115" s="199"/>
      <c r="BH115" s="199"/>
    </row>
    <row r="116" ht="83.25" customHeight="1">
      <c r="A116" s="21">
        <v>115.0</v>
      </c>
      <c r="B116" s="22">
        <v>2025.0</v>
      </c>
      <c r="C116" s="23" t="s">
        <v>632</v>
      </c>
      <c r="D116" s="80" t="s">
        <v>74</v>
      </c>
      <c r="E116" s="23" t="s">
        <v>544</v>
      </c>
      <c r="F116" s="25" t="s">
        <v>633</v>
      </c>
      <c r="G116" s="23" t="s">
        <v>634</v>
      </c>
      <c r="H116" s="23" t="s">
        <v>635</v>
      </c>
      <c r="I116" s="23" t="s">
        <v>185</v>
      </c>
      <c r="J116" s="23" t="s">
        <v>636</v>
      </c>
      <c r="K116" s="23" t="s">
        <v>637</v>
      </c>
      <c r="L116" s="23">
        <v>1.5</v>
      </c>
      <c r="M116" s="173">
        <v>200.0</v>
      </c>
      <c r="N116" s="162">
        <v>0.0</v>
      </c>
      <c r="O116" s="82">
        <v>2.30190574E8</v>
      </c>
      <c r="P116" s="82">
        <v>2.6293645E7</v>
      </c>
      <c r="Q116" s="163">
        <f t="shared" si="2"/>
        <v>256484219</v>
      </c>
      <c r="R116" s="164">
        <v>0.0</v>
      </c>
      <c r="S116" s="164">
        <v>0.0</v>
      </c>
      <c r="T116" s="165">
        <f t="shared" si="3"/>
        <v>256484219</v>
      </c>
      <c r="U116" s="174" t="s">
        <v>64</v>
      </c>
      <c r="V116" s="174" t="s">
        <v>64</v>
      </c>
      <c r="W116" s="175"/>
      <c r="X116" s="176">
        <v>46036.0</v>
      </c>
      <c r="Y116" s="176">
        <v>46082.0</v>
      </c>
      <c r="Z116" s="177">
        <v>0.0</v>
      </c>
      <c r="AA116" s="170">
        <v>0.0</v>
      </c>
      <c r="AB116" s="176">
        <v>46082.0</v>
      </c>
      <c r="AC116" s="38">
        <f t="shared" si="4"/>
        <v>-205</v>
      </c>
      <c r="AD116" s="27"/>
      <c r="AE116" s="27">
        <v>200.0</v>
      </c>
      <c r="AF116" s="27"/>
      <c r="AH116" s="95">
        <f t="shared" si="33"/>
        <v>200</v>
      </c>
      <c r="AI116" s="178">
        <v>200.0</v>
      </c>
      <c r="AJ116" s="88">
        <f t="shared" si="26"/>
        <v>0</v>
      </c>
      <c r="AK116" s="162"/>
      <c r="AL116" s="162"/>
      <c r="AM116" s="162"/>
      <c r="AN116" s="162"/>
      <c r="AO116" s="162">
        <v>0.0</v>
      </c>
      <c r="AP116" s="87">
        <v>200.0</v>
      </c>
      <c r="AQ116" s="162">
        <v>0.0</v>
      </c>
      <c r="AR116" s="82">
        <v>2.30190574E8</v>
      </c>
      <c r="AS116" s="82">
        <f>69057172+149623873</f>
        <v>218681045</v>
      </c>
      <c r="AT116" s="171">
        <f t="shared" si="28"/>
        <v>1</v>
      </c>
      <c r="AU116" s="171">
        <f t="shared" si="23"/>
        <v>0.9499999987</v>
      </c>
      <c r="AV116" s="264" t="s">
        <v>638</v>
      </c>
      <c r="AW116" s="74"/>
      <c r="AX116" s="75"/>
      <c r="AY116" s="74"/>
      <c r="AZ116" s="76"/>
      <c r="BA116" s="76"/>
      <c r="BB116" s="76"/>
      <c r="BC116" s="77"/>
      <c r="BD116" s="76"/>
      <c r="BE116" s="117"/>
      <c r="BF116" s="199"/>
      <c r="BG116" s="199"/>
      <c r="BH116" s="199"/>
    </row>
    <row r="117" ht="128.25" customHeight="1">
      <c r="A117" s="21">
        <v>116.0</v>
      </c>
      <c r="B117" s="22">
        <v>2025.0</v>
      </c>
      <c r="C117" s="23" t="s">
        <v>639</v>
      </c>
      <c r="D117" s="80" t="s">
        <v>74</v>
      </c>
      <c r="E117" s="23" t="s">
        <v>544</v>
      </c>
      <c r="F117" s="25" t="s">
        <v>640</v>
      </c>
      <c r="G117" s="23" t="s">
        <v>236</v>
      </c>
      <c r="H117" s="23" t="s">
        <v>641</v>
      </c>
      <c r="I117" s="23" t="s">
        <v>127</v>
      </c>
      <c r="J117" s="23" t="s">
        <v>642</v>
      </c>
      <c r="K117" s="23" t="s">
        <v>643</v>
      </c>
      <c r="L117" s="23">
        <v>1.5</v>
      </c>
      <c r="M117" s="173">
        <v>100.0</v>
      </c>
      <c r="N117" s="162">
        <v>0.0</v>
      </c>
      <c r="O117" s="82">
        <v>1.2249999E8</v>
      </c>
      <c r="P117" s="82">
        <v>1.4248991E7</v>
      </c>
      <c r="Q117" s="163">
        <f t="shared" si="2"/>
        <v>136748981</v>
      </c>
      <c r="R117" s="164">
        <v>0.0</v>
      </c>
      <c r="S117" s="164">
        <v>0.0</v>
      </c>
      <c r="T117" s="165">
        <f t="shared" si="3"/>
        <v>136748981</v>
      </c>
      <c r="U117" s="174" t="s">
        <v>64</v>
      </c>
      <c r="V117" s="174" t="s">
        <v>64</v>
      </c>
      <c r="W117" s="175"/>
      <c r="X117" s="176">
        <v>46070.0</v>
      </c>
      <c r="Y117" s="176">
        <v>46113.0</v>
      </c>
      <c r="Z117" s="177">
        <v>1.0</v>
      </c>
      <c r="AA117" s="160">
        <v>1.0</v>
      </c>
      <c r="AB117" s="176">
        <v>46157.0</v>
      </c>
      <c r="AC117" s="38">
        <f t="shared" si="4"/>
        <v>-130</v>
      </c>
      <c r="AD117" s="27"/>
      <c r="AE117" s="27">
        <v>100.0</v>
      </c>
      <c r="AF117" s="27"/>
      <c r="AH117" s="95">
        <f t="shared" si="33"/>
        <v>100</v>
      </c>
      <c r="AI117" s="178">
        <v>100.0</v>
      </c>
      <c r="AJ117" s="88">
        <f t="shared" si="26"/>
        <v>0</v>
      </c>
      <c r="AK117" s="162"/>
      <c r="AL117" s="162"/>
      <c r="AM117" s="162"/>
      <c r="AN117" s="162"/>
      <c r="AO117" s="162">
        <v>0.0</v>
      </c>
      <c r="AP117" s="87">
        <v>100.0</v>
      </c>
      <c r="AQ117" s="162">
        <v>0.0</v>
      </c>
      <c r="AR117" s="82">
        <v>1.2249999E8</v>
      </c>
      <c r="AS117" s="82">
        <v>3.6749997E7</v>
      </c>
      <c r="AT117" s="171">
        <f t="shared" si="28"/>
        <v>1</v>
      </c>
      <c r="AU117" s="265">
        <f t="shared" si="23"/>
        <v>0.3</v>
      </c>
      <c r="AV117" s="226" t="s">
        <v>644</v>
      </c>
      <c r="AW117" s="74"/>
      <c r="AX117" s="75"/>
      <c r="AY117" s="74"/>
      <c r="AZ117" s="76"/>
      <c r="BA117" s="76"/>
      <c r="BB117" s="76"/>
      <c r="BC117" s="77"/>
      <c r="BD117" s="76"/>
      <c r="BE117" s="117"/>
      <c r="BF117" s="199"/>
      <c r="BG117" s="199"/>
      <c r="BH117" s="199"/>
    </row>
    <row r="118" ht="128.25" customHeight="1">
      <c r="A118" s="21">
        <v>117.0</v>
      </c>
      <c r="B118" s="22">
        <v>2025.0</v>
      </c>
      <c r="C118" s="23" t="s">
        <v>639</v>
      </c>
      <c r="D118" s="80" t="s">
        <v>74</v>
      </c>
      <c r="E118" s="23" t="s">
        <v>544</v>
      </c>
      <c r="F118" s="25" t="s">
        <v>645</v>
      </c>
      <c r="G118" s="23" t="s">
        <v>236</v>
      </c>
      <c r="H118" s="23" t="s">
        <v>646</v>
      </c>
      <c r="I118" s="23" t="s">
        <v>127</v>
      </c>
      <c r="J118" s="23" t="s">
        <v>647</v>
      </c>
      <c r="K118" s="23" t="s">
        <v>648</v>
      </c>
      <c r="L118" s="23">
        <v>1.5</v>
      </c>
      <c r="M118" s="173">
        <v>100.0</v>
      </c>
      <c r="N118" s="162">
        <v>0.0</v>
      </c>
      <c r="O118" s="82">
        <v>1.2249999E8</v>
      </c>
      <c r="P118" s="82">
        <v>1.4248991E7</v>
      </c>
      <c r="Q118" s="163">
        <f t="shared" si="2"/>
        <v>136748981</v>
      </c>
      <c r="R118" s="164">
        <v>0.0</v>
      </c>
      <c r="S118" s="164">
        <v>0.0</v>
      </c>
      <c r="T118" s="165">
        <f t="shared" si="3"/>
        <v>136748981</v>
      </c>
      <c r="U118" s="83" t="s">
        <v>64</v>
      </c>
      <c r="V118" s="83" t="s">
        <v>64</v>
      </c>
      <c r="W118" s="175"/>
      <c r="X118" s="176">
        <v>46070.0</v>
      </c>
      <c r="Y118" s="176">
        <v>46113.0</v>
      </c>
      <c r="Z118" s="177">
        <v>0.0</v>
      </c>
      <c r="AA118" s="160">
        <v>2.0</v>
      </c>
      <c r="AB118" s="176">
        <v>46180.0</v>
      </c>
      <c r="AC118" s="38">
        <f t="shared" si="4"/>
        <v>-107</v>
      </c>
      <c r="AD118" s="27"/>
      <c r="AE118" s="27">
        <v>100.0</v>
      </c>
      <c r="AF118" s="27"/>
      <c r="AH118" s="95">
        <f t="shared" si="33"/>
        <v>100</v>
      </c>
      <c r="AI118" s="178">
        <v>100.0</v>
      </c>
      <c r="AJ118" s="88">
        <f t="shared" si="26"/>
        <v>0</v>
      </c>
      <c r="AK118" s="162"/>
      <c r="AL118" s="162"/>
      <c r="AM118" s="162"/>
      <c r="AN118" s="162"/>
      <c r="AO118" s="162">
        <v>0.0</v>
      </c>
      <c r="AP118" s="87">
        <v>100.0</v>
      </c>
      <c r="AQ118" s="162">
        <v>0.0</v>
      </c>
      <c r="AR118" s="82">
        <v>1.2249999E8</v>
      </c>
      <c r="AS118" s="82">
        <v>3.6749997E7</v>
      </c>
      <c r="AT118" s="171">
        <f t="shared" si="28"/>
        <v>1</v>
      </c>
      <c r="AU118" s="265">
        <f t="shared" si="23"/>
        <v>0.3</v>
      </c>
      <c r="AV118" s="120" t="s">
        <v>649</v>
      </c>
      <c r="AW118" s="74"/>
      <c r="AX118" s="75"/>
      <c r="AY118" s="74"/>
      <c r="AZ118" s="76"/>
      <c r="BA118" s="76"/>
      <c r="BB118" s="76"/>
      <c r="BC118" s="77"/>
      <c r="BD118" s="76"/>
      <c r="BE118" s="76"/>
      <c r="BF118" s="199"/>
      <c r="BG118" s="199"/>
      <c r="BH118" s="199"/>
    </row>
    <row r="119" ht="128.25" customHeight="1">
      <c r="A119" s="21">
        <v>118.0</v>
      </c>
      <c r="B119" s="22">
        <v>2025.0</v>
      </c>
      <c r="C119" s="23" t="s">
        <v>234</v>
      </c>
      <c r="D119" s="80" t="s">
        <v>74</v>
      </c>
      <c r="E119" s="23" t="s">
        <v>544</v>
      </c>
      <c r="F119" s="25" t="s">
        <v>650</v>
      </c>
      <c r="G119" s="23" t="s">
        <v>236</v>
      </c>
      <c r="H119" s="23" t="s">
        <v>651</v>
      </c>
      <c r="I119" s="23" t="s">
        <v>127</v>
      </c>
      <c r="J119" s="23" t="s">
        <v>652</v>
      </c>
      <c r="K119" s="23" t="s">
        <v>653</v>
      </c>
      <c r="L119" s="23">
        <v>1.5</v>
      </c>
      <c r="M119" s="173">
        <v>100.0</v>
      </c>
      <c r="N119" s="162">
        <v>0.0</v>
      </c>
      <c r="O119" s="82">
        <v>1.22273255E8</v>
      </c>
      <c r="P119" s="82">
        <v>1.4247562E7</v>
      </c>
      <c r="Q119" s="163">
        <f t="shared" si="2"/>
        <v>136520817</v>
      </c>
      <c r="R119" s="164">
        <v>0.0</v>
      </c>
      <c r="S119" s="164">
        <v>0.0</v>
      </c>
      <c r="T119" s="165">
        <f t="shared" si="3"/>
        <v>136520817</v>
      </c>
      <c r="U119" s="83" t="s">
        <v>64</v>
      </c>
      <c r="V119" s="83" t="s">
        <v>64</v>
      </c>
      <c r="W119" s="175"/>
      <c r="X119" s="176">
        <v>46013.0</v>
      </c>
      <c r="Y119" s="176">
        <v>46059.0</v>
      </c>
      <c r="Z119" s="177">
        <v>2.0</v>
      </c>
      <c r="AA119" s="160">
        <v>0.0</v>
      </c>
      <c r="AB119" s="176">
        <v>46107.0</v>
      </c>
      <c r="AC119" s="38">
        <f t="shared" si="4"/>
        <v>-180</v>
      </c>
      <c r="AD119" s="27"/>
      <c r="AE119" s="27">
        <v>100.0</v>
      </c>
      <c r="AF119" s="27"/>
      <c r="AH119" s="95">
        <f t="shared" si="33"/>
        <v>100</v>
      </c>
      <c r="AI119" s="178">
        <v>100.0</v>
      </c>
      <c r="AJ119" s="88">
        <f t="shared" si="26"/>
        <v>0</v>
      </c>
      <c r="AK119" s="162"/>
      <c r="AL119" s="162"/>
      <c r="AM119" s="162"/>
      <c r="AN119" s="162"/>
      <c r="AO119" s="162">
        <v>0.0</v>
      </c>
      <c r="AP119" s="87">
        <v>100.0</v>
      </c>
      <c r="AQ119" s="162">
        <v>0.0</v>
      </c>
      <c r="AR119" s="82">
        <v>1.22273255E8</v>
      </c>
      <c r="AS119" s="82">
        <f>36681977+79477616</f>
        <v>116159593</v>
      </c>
      <c r="AT119" s="171">
        <f t="shared" si="28"/>
        <v>1</v>
      </c>
      <c r="AU119" s="171">
        <f t="shared" si="23"/>
        <v>0.9500000061</v>
      </c>
      <c r="AV119" s="120" t="s">
        <v>654</v>
      </c>
      <c r="AW119" s="74"/>
      <c r="AX119" s="75"/>
      <c r="AY119" s="74"/>
      <c r="AZ119" s="76"/>
      <c r="BA119" s="76"/>
      <c r="BB119" s="76"/>
      <c r="BC119" s="222"/>
      <c r="BD119" s="76"/>
      <c r="BE119" s="76"/>
      <c r="BF119" s="199"/>
      <c r="BG119" s="199"/>
      <c r="BH119" s="199"/>
    </row>
    <row r="120" ht="128.25" customHeight="1">
      <c r="A120" s="21">
        <v>119.0</v>
      </c>
      <c r="B120" s="22">
        <v>2025.0</v>
      </c>
      <c r="C120" s="23" t="s">
        <v>205</v>
      </c>
      <c r="D120" s="80" t="s">
        <v>74</v>
      </c>
      <c r="E120" s="23" t="s">
        <v>544</v>
      </c>
      <c r="F120" s="25" t="s">
        <v>655</v>
      </c>
      <c r="G120" s="23" t="s">
        <v>500</v>
      </c>
      <c r="H120" s="23" t="s">
        <v>656</v>
      </c>
      <c r="I120" s="23" t="s">
        <v>120</v>
      </c>
      <c r="J120" s="23" t="s">
        <v>657</v>
      </c>
      <c r="K120" s="23" t="s">
        <v>658</v>
      </c>
      <c r="L120" s="23">
        <v>1.5</v>
      </c>
      <c r="M120" s="173">
        <v>100.0</v>
      </c>
      <c r="N120" s="162">
        <v>0.0</v>
      </c>
      <c r="O120" s="82">
        <v>1.22265243E8</v>
      </c>
      <c r="P120" s="82">
        <v>1.1208998E7</v>
      </c>
      <c r="Q120" s="163">
        <f t="shared" si="2"/>
        <v>133474241</v>
      </c>
      <c r="R120" s="164">
        <v>0.0</v>
      </c>
      <c r="S120" s="164">
        <v>0.0</v>
      </c>
      <c r="T120" s="165">
        <f t="shared" si="3"/>
        <v>133474241</v>
      </c>
      <c r="U120" s="83" t="s">
        <v>64</v>
      </c>
      <c r="V120" s="83" t="s">
        <v>64</v>
      </c>
      <c r="W120" s="175"/>
      <c r="X120" s="176">
        <v>46036.0</v>
      </c>
      <c r="Y120" s="176">
        <v>46082.0</v>
      </c>
      <c r="Z120" s="177">
        <v>0.0</v>
      </c>
      <c r="AA120" s="160">
        <v>2.0</v>
      </c>
      <c r="AB120" s="176">
        <v>46101.0</v>
      </c>
      <c r="AC120" s="38">
        <f t="shared" si="4"/>
        <v>-186</v>
      </c>
      <c r="AD120" s="27"/>
      <c r="AE120" s="27">
        <v>100.0</v>
      </c>
      <c r="AF120" s="27"/>
      <c r="AH120" s="95">
        <f t="shared" si="33"/>
        <v>100</v>
      </c>
      <c r="AI120" s="178">
        <v>100.0</v>
      </c>
      <c r="AJ120" s="88">
        <f t="shared" si="26"/>
        <v>0</v>
      </c>
      <c r="AK120" s="162"/>
      <c r="AL120" s="162"/>
      <c r="AM120" s="162"/>
      <c r="AN120" s="162"/>
      <c r="AO120" s="162">
        <v>0.0</v>
      </c>
      <c r="AP120" s="87">
        <v>100.0</v>
      </c>
      <c r="AQ120" s="162">
        <v>0.0</v>
      </c>
      <c r="AR120" s="82">
        <v>1.22265243E8</v>
      </c>
      <c r="AS120" s="82">
        <f>36679572+79472408</f>
        <v>116151980</v>
      </c>
      <c r="AT120" s="171">
        <f t="shared" si="28"/>
        <v>1</v>
      </c>
      <c r="AU120" s="171">
        <f t="shared" si="23"/>
        <v>0.949999993</v>
      </c>
      <c r="AV120" s="120" t="s">
        <v>659</v>
      </c>
      <c r="AW120" s="91"/>
      <c r="AX120" s="43"/>
      <c r="AY120" s="91"/>
      <c r="AZ120" s="92"/>
      <c r="BA120" s="92"/>
      <c r="BB120" s="92"/>
      <c r="BC120" s="46"/>
      <c r="BD120" s="92"/>
      <c r="BE120" s="47"/>
      <c r="BF120" s="99"/>
      <c r="BG120" s="99"/>
      <c r="BH120" s="99"/>
    </row>
    <row r="121" ht="128.25" customHeight="1">
      <c r="A121" s="21">
        <v>120.0</v>
      </c>
      <c r="B121" s="22">
        <v>2025.0</v>
      </c>
      <c r="C121" s="23" t="s">
        <v>604</v>
      </c>
      <c r="D121" s="80" t="s">
        <v>74</v>
      </c>
      <c r="E121" s="23" t="s">
        <v>544</v>
      </c>
      <c r="F121" s="25" t="s">
        <v>660</v>
      </c>
      <c r="G121" s="23" t="s">
        <v>179</v>
      </c>
      <c r="H121" s="23" t="s">
        <v>661</v>
      </c>
      <c r="I121" s="23" t="s">
        <v>78</v>
      </c>
      <c r="J121" s="23" t="s">
        <v>662</v>
      </c>
      <c r="K121" s="23" t="s">
        <v>663</v>
      </c>
      <c r="L121" s="23">
        <v>1.5</v>
      </c>
      <c r="M121" s="173">
        <v>100.0</v>
      </c>
      <c r="N121" s="162">
        <v>0.0</v>
      </c>
      <c r="O121" s="82">
        <v>1.21755209E8</v>
      </c>
      <c r="P121" s="82">
        <v>1.4178966E7</v>
      </c>
      <c r="Q121" s="163">
        <f t="shared" si="2"/>
        <v>135934175</v>
      </c>
      <c r="R121" s="164">
        <v>0.0</v>
      </c>
      <c r="S121" s="164">
        <v>0.0</v>
      </c>
      <c r="T121" s="165">
        <f t="shared" si="3"/>
        <v>135934175</v>
      </c>
      <c r="U121" s="83" t="s">
        <v>64</v>
      </c>
      <c r="V121" s="83" t="s">
        <v>64</v>
      </c>
      <c r="W121" s="175"/>
      <c r="X121" s="176">
        <v>46002.0</v>
      </c>
      <c r="Y121" s="176">
        <v>46048.0</v>
      </c>
      <c r="Z121" s="177">
        <v>1.0</v>
      </c>
      <c r="AA121" s="160">
        <v>2.0</v>
      </c>
      <c r="AB121" s="176">
        <v>46123.0</v>
      </c>
      <c r="AC121" s="38">
        <f t="shared" si="4"/>
        <v>-164</v>
      </c>
      <c r="AD121" s="27"/>
      <c r="AE121" s="27">
        <v>100.0</v>
      </c>
      <c r="AF121" s="27"/>
      <c r="AH121" s="95">
        <f t="shared" si="33"/>
        <v>100</v>
      </c>
      <c r="AI121" s="178">
        <v>100.0</v>
      </c>
      <c r="AJ121" s="88">
        <f t="shared" si="26"/>
        <v>0</v>
      </c>
      <c r="AK121" s="162"/>
      <c r="AL121" s="162"/>
      <c r="AM121" s="162"/>
      <c r="AN121" s="162"/>
      <c r="AO121" s="162">
        <v>0.0</v>
      </c>
      <c r="AP121" s="87">
        <v>100.0</v>
      </c>
      <c r="AQ121" s="162">
        <v>0.0</v>
      </c>
      <c r="AR121" s="82">
        <v>1.21755209E8</v>
      </c>
      <c r="AS121" s="82">
        <f>33152868+71831213</f>
        <v>104984081</v>
      </c>
      <c r="AT121" s="171">
        <f t="shared" si="28"/>
        <v>1</v>
      </c>
      <c r="AU121" s="171">
        <f t="shared" si="23"/>
        <v>0.8622553553</v>
      </c>
      <c r="AV121" s="266" t="s">
        <v>664</v>
      </c>
      <c r="AW121" s="74"/>
      <c r="AX121" s="75"/>
      <c r="AY121" s="74"/>
      <c r="AZ121" s="76"/>
      <c r="BA121" s="76"/>
      <c r="BB121" s="76"/>
      <c r="BC121" s="77"/>
      <c r="BD121" s="76"/>
      <c r="BE121" s="117"/>
      <c r="BF121" s="199"/>
      <c r="BG121" s="199"/>
      <c r="BH121" s="199"/>
    </row>
    <row r="122" ht="128.25" customHeight="1">
      <c r="A122" s="21">
        <v>121.0</v>
      </c>
      <c r="B122" s="22">
        <v>2025.0</v>
      </c>
      <c r="C122" s="23" t="s">
        <v>639</v>
      </c>
      <c r="D122" s="80" t="s">
        <v>74</v>
      </c>
      <c r="E122" s="23" t="s">
        <v>544</v>
      </c>
      <c r="F122" s="25" t="s">
        <v>665</v>
      </c>
      <c r="G122" s="23" t="s">
        <v>252</v>
      </c>
      <c r="H122" s="23" t="s">
        <v>666</v>
      </c>
      <c r="I122" s="23" t="s">
        <v>85</v>
      </c>
      <c r="J122" s="23" t="s">
        <v>667</v>
      </c>
      <c r="K122" s="23" t="s">
        <v>668</v>
      </c>
      <c r="L122" s="23">
        <v>1.5</v>
      </c>
      <c r="M122" s="173">
        <v>100.0</v>
      </c>
      <c r="N122" s="162">
        <v>0.0</v>
      </c>
      <c r="O122" s="82">
        <v>1.01750077E8</v>
      </c>
      <c r="P122" s="82">
        <v>1.3454853E7</v>
      </c>
      <c r="Q122" s="163">
        <f t="shared" si="2"/>
        <v>115204930</v>
      </c>
      <c r="R122" s="164">
        <v>0.0</v>
      </c>
      <c r="S122" s="164">
        <v>0.0</v>
      </c>
      <c r="T122" s="165">
        <f t="shared" si="3"/>
        <v>115204930</v>
      </c>
      <c r="U122" s="267" t="s">
        <v>438</v>
      </c>
      <c r="V122" s="267" t="s">
        <v>438</v>
      </c>
      <c r="W122" s="175"/>
      <c r="X122" s="176">
        <v>46035.0</v>
      </c>
      <c r="Y122" s="176">
        <v>46081.0</v>
      </c>
      <c r="Z122" s="177">
        <v>0.0</v>
      </c>
      <c r="AA122" s="160">
        <v>5.0</v>
      </c>
      <c r="AB122" s="176">
        <v>46256.0</v>
      </c>
      <c r="AC122" s="38">
        <f t="shared" si="4"/>
        <v>-31</v>
      </c>
      <c r="AD122" s="27"/>
      <c r="AE122" s="27">
        <v>20.0</v>
      </c>
      <c r="AF122" s="27"/>
      <c r="AG122" s="27"/>
      <c r="AH122" s="95">
        <f t="shared" si="33"/>
        <v>20</v>
      </c>
      <c r="AI122" s="227">
        <v>20.0</v>
      </c>
      <c r="AJ122" s="88">
        <f t="shared" si="26"/>
        <v>0</v>
      </c>
      <c r="AK122" s="259"/>
      <c r="AL122" s="259"/>
      <c r="AM122" s="259"/>
      <c r="AN122" s="259"/>
      <c r="AO122" s="259">
        <v>0.0</v>
      </c>
      <c r="AP122" s="197">
        <v>20.0</v>
      </c>
      <c r="AQ122" s="259">
        <v>0.0</v>
      </c>
      <c r="AR122" s="144">
        <v>1.01750077E8</v>
      </c>
      <c r="AS122" s="144">
        <v>3.0525023E7</v>
      </c>
      <c r="AT122" s="239">
        <v>0.2</v>
      </c>
      <c r="AU122" s="238">
        <f t="shared" si="23"/>
        <v>0.299999999</v>
      </c>
      <c r="AV122" s="120" t="s">
        <v>669</v>
      </c>
      <c r="AW122" s="74"/>
      <c r="AX122" s="75"/>
      <c r="AY122" s="74"/>
      <c r="AZ122" s="76"/>
      <c r="BA122" s="76"/>
      <c r="BB122" s="76"/>
      <c r="BC122" s="77"/>
      <c r="BD122" s="76"/>
      <c r="BE122" s="76"/>
      <c r="BF122" s="199"/>
      <c r="BG122" s="199"/>
      <c r="BH122" s="199"/>
    </row>
    <row r="123" ht="128.25" customHeight="1">
      <c r="A123" s="21">
        <v>122.0</v>
      </c>
      <c r="B123" s="22">
        <v>2025.0</v>
      </c>
      <c r="C123" s="23" t="s">
        <v>73</v>
      </c>
      <c r="D123" s="80" t="s">
        <v>74</v>
      </c>
      <c r="E123" s="23" t="s">
        <v>544</v>
      </c>
      <c r="F123" s="25" t="s">
        <v>670</v>
      </c>
      <c r="G123" s="23" t="s">
        <v>281</v>
      </c>
      <c r="H123" s="23" t="s">
        <v>671</v>
      </c>
      <c r="I123" s="23" t="s">
        <v>120</v>
      </c>
      <c r="J123" s="23" t="s">
        <v>672</v>
      </c>
      <c r="K123" s="23" t="s">
        <v>673</v>
      </c>
      <c r="L123" s="23">
        <v>1.5</v>
      </c>
      <c r="M123" s="173">
        <v>100.0</v>
      </c>
      <c r="N123" s="162">
        <v>0.0</v>
      </c>
      <c r="O123" s="82">
        <v>1.22467404E8</v>
      </c>
      <c r="P123" s="82">
        <v>1.7736711E7</v>
      </c>
      <c r="Q123" s="163">
        <f t="shared" si="2"/>
        <v>140204115</v>
      </c>
      <c r="R123" s="164">
        <v>0.0</v>
      </c>
      <c r="S123" s="164">
        <v>0.0</v>
      </c>
      <c r="T123" s="165">
        <f t="shared" si="3"/>
        <v>140204115</v>
      </c>
      <c r="U123" s="83" t="s">
        <v>64</v>
      </c>
      <c r="V123" s="83" t="s">
        <v>64</v>
      </c>
      <c r="W123" s="175"/>
      <c r="X123" s="176">
        <v>46043.0</v>
      </c>
      <c r="Y123" s="176">
        <v>46089.0</v>
      </c>
      <c r="Z123" s="177">
        <v>0.0</v>
      </c>
      <c r="AA123" s="160">
        <v>0.0</v>
      </c>
      <c r="AB123" s="176">
        <v>46089.0</v>
      </c>
      <c r="AC123" s="38">
        <f t="shared" si="4"/>
        <v>-198</v>
      </c>
      <c r="AD123" s="27"/>
      <c r="AE123" s="27">
        <v>95.0</v>
      </c>
      <c r="AF123" s="27"/>
      <c r="AG123" s="27"/>
      <c r="AH123" s="95">
        <f t="shared" si="33"/>
        <v>95</v>
      </c>
      <c r="AI123" s="197">
        <v>95.0</v>
      </c>
      <c r="AJ123" s="88">
        <f t="shared" si="26"/>
        <v>0</v>
      </c>
      <c r="AK123" s="162"/>
      <c r="AL123" s="162"/>
      <c r="AM123" s="162"/>
      <c r="AN123" s="162"/>
      <c r="AO123" s="162">
        <v>0.0</v>
      </c>
      <c r="AP123" s="87">
        <v>100.0</v>
      </c>
      <c r="AQ123" s="162">
        <v>0.0</v>
      </c>
      <c r="AR123" s="82">
        <v>1.22467404E8</v>
      </c>
      <c r="AS123" s="82">
        <f>36482869+79845678+6138857</f>
        <v>122467404</v>
      </c>
      <c r="AT123" s="171">
        <f t="shared" ref="AT123:AT144" si="34">AP123/M123</f>
        <v>1</v>
      </c>
      <c r="AU123" s="171">
        <f t="shared" si="23"/>
        <v>1</v>
      </c>
      <c r="AV123" s="268" t="s">
        <v>674</v>
      </c>
      <c r="AW123" s="74"/>
      <c r="AX123" s="75"/>
      <c r="AY123" s="74"/>
      <c r="AZ123" s="76"/>
      <c r="BA123" s="76"/>
      <c r="BB123" s="76"/>
      <c r="BC123" s="222"/>
      <c r="BD123" s="76"/>
      <c r="BE123" s="76"/>
      <c r="BF123" s="199"/>
      <c r="BG123" s="199"/>
      <c r="BH123" s="199"/>
    </row>
    <row r="124" ht="128.25" customHeight="1">
      <c r="A124" s="21">
        <v>123.0</v>
      </c>
      <c r="B124" s="22">
        <v>2025.0</v>
      </c>
      <c r="C124" s="23" t="s">
        <v>205</v>
      </c>
      <c r="D124" s="80" t="s">
        <v>74</v>
      </c>
      <c r="E124" s="23" t="s">
        <v>544</v>
      </c>
      <c r="F124" s="25" t="s">
        <v>675</v>
      </c>
      <c r="G124" s="23" t="s">
        <v>212</v>
      </c>
      <c r="H124" s="23" t="s">
        <v>676</v>
      </c>
      <c r="I124" s="23" t="s">
        <v>120</v>
      </c>
      <c r="J124" s="23" t="s">
        <v>677</v>
      </c>
      <c r="K124" s="23" t="s">
        <v>678</v>
      </c>
      <c r="L124" s="23">
        <v>1.5</v>
      </c>
      <c r="M124" s="173">
        <v>100.0</v>
      </c>
      <c r="N124" s="162">
        <v>0.0</v>
      </c>
      <c r="O124" s="82">
        <v>1.17775259E8</v>
      </c>
      <c r="P124" s="82">
        <v>1.2178378E7</v>
      </c>
      <c r="Q124" s="163">
        <f t="shared" si="2"/>
        <v>129953637</v>
      </c>
      <c r="R124" s="164">
        <v>0.0</v>
      </c>
      <c r="S124" s="164">
        <v>0.0</v>
      </c>
      <c r="T124" s="165">
        <f t="shared" si="3"/>
        <v>129953637</v>
      </c>
      <c r="U124" s="83" t="s">
        <v>64</v>
      </c>
      <c r="V124" s="83" t="s">
        <v>64</v>
      </c>
      <c r="W124" s="175"/>
      <c r="X124" s="176">
        <v>46056.0</v>
      </c>
      <c r="Y124" s="176">
        <v>46099.0</v>
      </c>
      <c r="Z124" s="177">
        <v>0.0</v>
      </c>
      <c r="AA124" s="160">
        <v>0.0</v>
      </c>
      <c r="AB124" s="176">
        <v>46099.0</v>
      </c>
      <c r="AC124" s="38">
        <f t="shared" si="4"/>
        <v>-188</v>
      </c>
      <c r="AD124" s="27"/>
      <c r="AE124" s="27">
        <v>100.0</v>
      </c>
      <c r="AF124" s="27"/>
      <c r="AH124" s="95">
        <f t="shared" si="33"/>
        <v>100</v>
      </c>
      <c r="AI124" s="178">
        <v>100.0</v>
      </c>
      <c r="AJ124" s="88">
        <f t="shared" si="26"/>
        <v>0</v>
      </c>
      <c r="AK124" s="162"/>
      <c r="AL124" s="162"/>
      <c r="AM124" s="162"/>
      <c r="AN124" s="162"/>
      <c r="AO124" s="162">
        <v>0.0</v>
      </c>
      <c r="AP124" s="87">
        <v>100.0</v>
      </c>
      <c r="AQ124" s="162">
        <v>0.0</v>
      </c>
      <c r="AR124" s="82">
        <v>1.17775259E8</v>
      </c>
      <c r="AS124" s="82">
        <f>35332578+76553918</f>
        <v>111886496</v>
      </c>
      <c r="AT124" s="171">
        <f t="shared" si="34"/>
        <v>1</v>
      </c>
      <c r="AU124" s="171">
        <f t="shared" si="23"/>
        <v>0.9499999996</v>
      </c>
      <c r="AV124" s="23" t="s">
        <v>679</v>
      </c>
      <c r="AW124" s="269"/>
      <c r="AX124" s="270"/>
      <c r="AY124" s="269"/>
      <c r="AZ124" s="271"/>
      <c r="BA124" s="271"/>
      <c r="BB124" s="271"/>
      <c r="BC124" s="272"/>
      <c r="BD124" s="271"/>
      <c r="BE124" s="273"/>
      <c r="BF124" s="274"/>
      <c r="BG124" s="274"/>
      <c r="BH124" s="274"/>
    </row>
    <row r="125" ht="128.25" customHeight="1">
      <c r="A125" s="21">
        <v>124.0</v>
      </c>
      <c r="B125" s="22">
        <v>2025.0</v>
      </c>
      <c r="C125" s="23" t="s">
        <v>205</v>
      </c>
      <c r="D125" s="80" t="s">
        <v>74</v>
      </c>
      <c r="E125" s="23" t="s">
        <v>544</v>
      </c>
      <c r="F125" s="25" t="s">
        <v>680</v>
      </c>
      <c r="G125" s="23" t="s">
        <v>212</v>
      </c>
      <c r="H125" s="23" t="s">
        <v>681</v>
      </c>
      <c r="I125" s="23" t="s">
        <v>120</v>
      </c>
      <c r="J125" s="23" t="s">
        <v>682</v>
      </c>
      <c r="K125" s="23" t="s">
        <v>683</v>
      </c>
      <c r="L125" s="23">
        <v>1.5</v>
      </c>
      <c r="M125" s="173">
        <v>100.0</v>
      </c>
      <c r="N125" s="162">
        <v>0.0</v>
      </c>
      <c r="O125" s="82">
        <v>1.11992339E8</v>
      </c>
      <c r="P125" s="82">
        <v>1.9149179E7</v>
      </c>
      <c r="Q125" s="163">
        <f t="shared" si="2"/>
        <v>131141518</v>
      </c>
      <c r="R125" s="164">
        <v>0.0</v>
      </c>
      <c r="S125" s="164">
        <v>0.0</v>
      </c>
      <c r="T125" s="165">
        <f t="shared" si="3"/>
        <v>131141518</v>
      </c>
      <c r="U125" s="83" t="s">
        <v>64</v>
      </c>
      <c r="V125" s="83" t="s">
        <v>64</v>
      </c>
      <c r="W125" s="175"/>
      <c r="X125" s="176">
        <v>46049.0</v>
      </c>
      <c r="Y125" s="176">
        <v>46095.0</v>
      </c>
      <c r="Z125" s="177">
        <v>1.0</v>
      </c>
      <c r="AA125" s="160">
        <v>1.0</v>
      </c>
      <c r="AB125" s="176">
        <v>46156.0</v>
      </c>
      <c r="AC125" s="38">
        <f t="shared" si="4"/>
        <v>-131</v>
      </c>
      <c r="AD125" s="27"/>
      <c r="AE125" s="27">
        <v>43.0</v>
      </c>
      <c r="AF125" s="27"/>
      <c r="AG125" s="27"/>
      <c r="AH125" s="95">
        <f t="shared" si="33"/>
        <v>43</v>
      </c>
      <c r="AI125" s="227">
        <v>43.0</v>
      </c>
      <c r="AJ125" s="88">
        <f t="shared" si="26"/>
        <v>0</v>
      </c>
      <c r="AK125" s="275"/>
      <c r="AL125" s="275"/>
      <c r="AM125" s="275"/>
      <c r="AN125" s="275"/>
      <c r="AO125" s="275">
        <v>0.0</v>
      </c>
      <c r="AP125" s="276">
        <v>43.0</v>
      </c>
      <c r="AQ125" s="275">
        <v>0.0</v>
      </c>
      <c r="AR125" s="277">
        <v>1.11992339E8</v>
      </c>
      <c r="AS125" s="277">
        <v>3.3597702E7</v>
      </c>
      <c r="AT125" s="278">
        <f t="shared" si="34"/>
        <v>0.43</v>
      </c>
      <c r="AU125" s="278">
        <f t="shared" si="23"/>
        <v>0.3000000027</v>
      </c>
      <c r="AV125" s="226" t="s">
        <v>684</v>
      </c>
      <c r="AW125" s="91"/>
      <c r="AX125" s="43"/>
      <c r="AY125" s="91"/>
      <c r="AZ125" s="92"/>
      <c r="BA125" s="92"/>
      <c r="BB125" s="92"/>
      <c r="BC125" s="46"/>
      <c r="BD125" s="92"/>
      <c r="BE125" s="47"/>
      <c r="BF125" s="99"/>
      <c r="BG125" s="99"/>
      <c r="BH125" s="99"/>
    </row>
    <row r="126" ht="128.25" customHeight="1">
      <c r="A126" s="21">
        <v>125.0</v>
      </c>
      <c r="B126" s="22">
        <v>2025.0</v>
      </c>
      <c r="C126" s="23" t="s">
        <v>73</v>
      </c>
      <c r="D126" s="80" t="s">
        <v>74</v>
      </c>
      <c r="E126" s="23" t="s">
        <v>544</v>
      </c>
      <c r="F126" s="25" t="s">
        <v>685</v>
      </c>
      <c r="G126" s="23" t="s">
        <v>686</v>
      </c>
      <c r="H126" s="23" t="s">
        <v>687</v>
      </c>
      <c r="I126" s="23" t="s">
        <v>120</v>
      </c>
      <c r="J126" s="23" t="s">
        <v>688</v>
      </c>
      <c r="K126" s="23" t="s">
        <v>689</v>
      </c>
      <c r="L126" s="23">
        <v>1.5</v>
      </c>
      <c r="M126" s="173">
        <v>100.0</v>
      </c>
      <c r="N126" s="162">
        <v>0.0</v>
      </c>
      <c r="O126" s="82">
        <v>1.22499134E8</v>
      </c>
      <c r="P126" s="82">
        <v>1.232523E7</v>
      </c>
      <c r="Q126" s="163">
        <f t="shared" si="2"/>
        <v>134824364</v>
      </c>
      <c r="R126" s="164">
        <v>0.0</v>
      </c>
      <c r="S126" s="164">
        <v>0.0</v>
      </c>
      <c r="T126" s="165">
        <f t="shared" si="3"/>
        <v>134824364</v>
      </c>
      <c r="U126" s="83" t="s">
        <v>64</v>
      </c>
      <c r="V126" s="83" t="s">
        <v>64</v>
      </c>
      <c r="W126" s="175"/>
      <c r="X126" s="176">
        <v>46043.0</v>
      </c>
      <c r="Y126" s="176">
        <v>46089.0</v>
      </c>
      <c r="Z126" s="177">
        <v>0.0</v>
      </c>
      <c r="AA126" s="160">
        <v>0.0</v>
      </c>
      <c r="AB126" s="176">
        <v>46089.0</v>
      </c>
      <c r="AC126" s="38">
        <f t="shared" si="4"/>
        <v>-198</v>
      </c>
      <c r="AD126" s="27"/>
      <c r="AE126" s="27">
        <v>100.0</v>
      </c>
      <c r="AF126" s="27"/>
      <c r="AH126" s="95">
        <f t="shared" si="33"/>
        <v>100</v>
      </c>
      <c r="AI126" s="178">
        <v>100.0</v>
      </c>
      <c r="AJ126" s="88">
        <f t="shared" si="26"/>
        <v>0</v>
      </c>
      <c r="AK126" s="162"/>
      <c r="AL126" s="162"/>
      <c r="AM126" s="162"/>
      <c r="AN126" s="162"/>
      <c r="AO126" s="162">
        <v>0.0</v>
      </c>
      <c r="AP126" s="87">
        <v>100.0</v>
      </c>
      <c r="AQ126" s="162">
        <v>0.0</v>
      </c>
      <c r="AR126" s="82">
        <v>1.22499134E8</v>
      </c>
      <c r="AS126" s="82">
        <f>36749740+81520250</f>
        <v>118269990</v>
      </c>
      <c r="AT126" s="171">
        <f t="shared" si="34"/>
        <v>1</v>
      </c>
      <c r="AU126" s="171">
        <f t="shared" si="23"/>
        <v>0.9654761314</v>
      </c>
      <c r="AV126" s="120" t="s">
        <v>690</v>
      </c>
      <c r="AW126" s="74"/>
      <c r="AX126" s="75"/>
      <c r="AY126" s="74"/>
      <c r="AZ126" s="76"/>
      <c r="BA126" s="76"/>
      <c r="BB126" s="76"/>
      <c r="BC126" s="77"/>
      <c r="BD126" s="76"/>
      <c r="BE126" s="76"/>
      <c r="BF126" s="199"/>
      <c r="BG126" s="199"/>
      <c r="BH126" s="199"/>
    </row>
    <row r="127" ht="128.25" customHeight="1">
      <c r="A127" s="21">
        <v>126.0</v>
      </c>
      <c r="B127" s="22">
        <v>2025.0</v>
      </c>
      <c r="C127" s="23" t="s">
        <v>124</v>
      </c>
      <c r="D127" s="80" t="s">
        <v>74</v>
      </c>
      <c r="E127" s="23" t="s">
        <v>544</v>
      </c>
      <c r="F127" s="25" t="s">
        <v>691</v>
      </c>
      <c r="G127" s="23" t="s">
        <v>131</v>
      </c>
      <c r="H127" s="23" t="s">
        <v>692</v>
      </c>
      <c r="I127" s="23" t="s">
        <v>127</v>
      </c>
      <c r="J127" s="23" t="s">
        <v>693</v>
      </c>
      <c r="K127" s="23" t="s">
        <v>694</v>
      </c>
      <c r="L127" s="23">
        <v>1.5</v>
      </c>
      <c r="M127" s="173">
        <v>100.0</v>
      </c>
      <c r="N127" s="162">
        <v>0.0</v>
      </c>
      <c r="O127" s="82">
        <v>1.22305437E8</v>
      </c>
      <c r="P127" s="82">
        <v>7442745.0</v>
      </c>
      <c r="Q127" s="163">
        <f t="shared" si="2"/>
        <v>129748182</v>
      </c>
      <c r="R127" s="164">
        <v>0.0</v>
      </c>
      <c r="S127" s="164">
        <v>0.0</v>
      </c>
      <c r="T127" s="165">
        <f t="shared" si="3"/>
        <v>129748182</v>
      </c>
      <c r="U127" s="83" t="s">
        <v>64</v>
      </c>
      <c r="V127" s="83" t="s">
        <v>64</v>
      </c>
      <c r="W127" s="175"/>
      <c r="X127" s="176">
        <v>46043.0</v>
      </c>
      <c r="Y127" s="176">
        <v>46089.0</v>
      </c>
      <c r="Z127" s="177">
        <v>0.0</v>
      </c>
      <c r="AA127" s="160">
        <v>0.0</v>
      </c>
      <c r="AB127" s="176">
        <v>46089.0</v>
      </c>
      <c r="AC127" s="38">
        <f t="shared" si="4"/>
        <v>-198</v>
      </c>
      <c r="AD127" s="27"/>
      <c r="AE127" s="27">
        <v>100.0</v>
      </c>
      <c r="AF127" s="27"/>
      <c r="AH127" s="95">
        <f t="shared" si="33"/>
        <v>100</v>
      </c>
      <c r="AI127" s="178">
        <v>100.0</v>
      </c>
      <c r="AJ127" s="88">
        <f t="shared" si="26"/>
        <v>0</v>
      </c>
      <c r="AK127" s="162"/>
      <c r="AL127" s="162"/>
      <c r="AM127" s="162"/>
      <c r="AN127" s="162"/>
      <c r="AO127" s="162">
        <v>0.0</v>
      </c>
      <c r="AP127" s="87">
        <v>100.0</v>
      </c>
      <c r="AQ127" s="162">
        <v>0.0</v>
      </c>
      <c r="AR127" s="82">
        <v>1.22305437E8</v>
      </c>
      <c r="AS127" s="82">
        <f>36691631+63598827</f>
        <v>100290458</v>
      </c>
      <c r="AT127" s="171">
        <f t="shared" si="34"/>
        <v>1</v>
      </c>
      <c r="AU127" s="171">
        <f t="shared" si="23"/>
        <v>0.8199999972</v>
      </c>
      <c r="AV127" s="23" t="s">
        <v>695</v>
      </c>
      <c r="AW127" s="74"/>
      <c r="AX127" s="75"/>
      <c r="AY127" s="74"/>
      <c r="AZ127" s="76"/>
      <c r="BA127" s="76"/>
      <c r="BB127" s="76"/>
      <c r="BC127" s="222"/>
      <c r="BD127" s="76"/>
      <c r="BE127" s="76"/>
      <c r="BF127" s="199"/>
      <c r="BG127" s="199"/>
      <c r="BH127" s="199"/>
    </row>
    <row r="128" ht="104.25" customHeight="1">
      <c r="A128" s="21">
        <v>127.0</v>
      </c>
      <c r="B128" s="22">
        <v>2025.0</v>
      </c>
      <c r="C128" s="23" t="s">
        <v>696</v>
      </c>
      <c r="D128" s="80" t="s">
        <v>74</v>
      </c>
      <c r="E128" s="23" t="s">
        <v>544</v>
      </c>
      <c r="F128" s="25" t="s">
        <v>697</v>
      </c>
      <c r="G128" s="23" t="s">
        <v>290</v>
      </c>
      <c r="H128" s="23" t="s">
        <v>698</v>
      </c>
      <c r="I128" s="23" t="s">
        <v>120</v>
      </c>
      <c r="J128" s="23" t="s">
        <v>699</v>
      </c>
      <c r="K128" s="23" t="s">
        <v>700</v>
      </c>
      <c r="L128" s="23">
        <v>1.5</v>
      </c>
      <c r="M128" s="173">
        <v>100.0</v>
      </c>
      <c r="N128" s="162">
        <v>0.0</v>
      </c>
      <c r="O128" s="82">
        <v>1.22220109E8</v>
      </c>
      <c r="P128" s="82">
        <v>1.3285932E7</v>
      </c>
      <c r="Q128" s="163">
        <f t="shared" si="2"/>
        <v>135506041</v>
      </c>
      <c r="R128" s="164">
        <v>0.0</v>
      </c>
      <c r="S128" s="164">
        <v>0.0</v>
      </c>
      <c r="T128" s="165">
        <f t="shared" si="3"/>
        <v>135506041</v>
      </c>
      <c r="U128" s="83" t="s">
        <v>64</v>
      </c>
      <c r="V128" s="83" t="s">
        <v>64</v>
      </c>
      <c r="W128" s="175"/>
      <c r="X128" s="176">
        <v>46027.0</v>
      </c>
      <c r="Y128" s="176">
        <v>46073.0</v>
      </c>
      <c r="Z128" s="177">
        <v>0.0</v>
      </c>
      <c r="AA128" s="160">
        <v>0.0</v>
      </c>
      <c r="AB128" s="176">
        <v>46073.0</v>
      </c>
      <c r="AC128" s="38">
        <f t="shared" si="4"/>
        <v>-214</v>
      </c>
      <c r="AD128" s="27"/>
      <c r="AE128" s="27">
        <v>100.0</v>
      </c>
      <c r="AF128" s="27"/>
      <c r="AH128" s="95">
        <f t="shared" si="33"/>
        <v>100</v>
      </c>
      <c r="AI128" s="178">
        <v>100.0</v>
      </c>
      <c r="AJ128" s="88">
        <f t="shared" si="26"/>
        <v>0</v>
      </c>
      <c r="AK128" s="162"/>
      <c r="AL128" s="162"/>
      <c r="AM128" s="162"/>
      <c r="AN128" s="162"/>
      <c r="AO128" s="162">
        <v>0.0</v>
      </c>
      <c r="AP128" s="87">
        <v>100.0</v>
      </c>
      <c r="AQ128" s="162">
        <v>0.0</v>
      </c>
      <c r="AR128" s="82">
        <f t="shared" ref="AR128:AR137" si="35">O128</f>
        <v>122220109</v>
      </c>
      <c r="AS128" s="82">
        <f>36666033+79443071</f>
        <v>116109104</v>
      </c>
      <c r="AT128" s="171">
        <f t="shared" si="34"/>
        <v>1</v>
      </c>
      <c r="AU128" s="171">
        <f t="shared" si="23"/>
        <v>0.9500000037</v>
      </c>
      <c r="AV128" s="226" t="s">
        <v>701</v>
      </c>
      <c r="AW128" s="74"/>
      <c r="AX128" s="75"/>
      <c r="AY128" s="74"/>
      <c r="AZ128" s="76"/>
      <c r="BA128" s="76"/>
      <c r="BB128" s="76"/>
      <c r="BC128" s="77"/>
      <c r="BD128" s="76"/>
      <c r="BE128" s="117"/>
      <c r="BF128" s="199"/>
      <c r="BG128" s="199"/>
      <c r="BH128" s="199"/>
    </row>
    <row r="129" ht="104.25" customHeight="1">
      <c r="A129" s="21">
        <v>128.0</v>
      </c>
      <c r="B129" s="22">
        <v>2025.0</v>
      </c>
      <c r="C129" s="23" t="s">
        <v>205</v>
      </c>
      <c r="D129" s="80" t="s">
        <v>74</v>
      </c>
      <c r="E129" s="23" t="s">
        <v>544</v>
      </c>
      <c r="F129" s="25" t="s">
        <v>702</v>
      </c>
      <c r="G129" s="23" t="s">
        <v>217</v>
      </c>
      <c r="H129" s="23" t="s">
        <v>703</v>
      </c>
      <c r="I129" s="23" t="s">
        <v>120</v>
      </c>
      <c r="J129" s="23" t="s">
        <v>704</v>
      </c>
      <c r="K129" s="23" t="s">
        <v>705</v>
      </c>
      <c r="L129" s="23">
        <v>1.5</v>
      </c>
      <c r="M129" s="173">
        <v>200.0</v>
      </c>
      <c r="N129" s="162">
        <v>0.0</v>
      </c>
      <c r="O129" s="82">
        <v>2.32558046E8</v>
      </c>
      <c r="P129" s="82">
        <v>2.4254705E7</v>
      </c>
      <c r="Q129" s="163">
        <f t="shared" si="2"/>
        <v>256812751</v>
      </c>
      <c r="R129" s="164">
        <v>0.0</v>
      </c>
      <c r="S129" s="164">
        <v>0.0</v>
      </c>
      <c r="T129" s="165">
        <f t="shared" si="3"/>
        <v>256812751</v>
      </c>
      <c r="U129" s="83" t="s">
        <v>64</v>
      </c>
      <c r="V129" s="83" t="s">
        <v>64</v>
      </c>
      <c r="W129" s="175"/>
      <c r="X129" s="176">
        <v>46044.0</v>
      </c>
      <c r="Y129" s="176">
        <v>46090.0</v>
      </c>
      <c r="Z129" s="177">
        <v>0.0</v>
      </c>
      <c r="AA129" s="160">
        <v>0.0</v>
      </c>
      <c r="AB129" s="176">
        <v>46090.0</v>
      </c>
      <c r="AC129" s="38">
        <f t="shared" si="4"/>
        <v>-197</v>
      </c>
      <c r="AD129" s="27"/>
      <c r="AE129" s="27">
        <v>190.0</v>
      </c>
      <c r="AF129" s="27"/>
      <c r="AG129" s="27"/>
      <c r="AH129" s="95">
        <f t="shared" si="33"/>
        <v>190</v>
      </c>
      <c r="AI129" s="173">
        <v>190.0</v>
      </c>
      <c r="AJ129" s="88">
        <f t="shared" si="26"/>
        <v>0</v>
      </c>
      <c r="AK129" s="162"/>
      <c r="AL129" s="162"/>
      <c r="AM129" s="162"/>
      <c r="AN129" s="162"/>
      <c r="AO129" s="162">
        <v>0.0</v>
      </c>
      <c r="AP129" s="178">
        <v>190.0</v>
      </c>
      <c r="AQ129" s="162">
        <v>0.0</v>
      </c>
      <c r="AR129" s="82">
        <f t="shared" si="35"/>
        <v>232558046</v>
      </c>
      <c r="AS129" s="82">
        <f>69767411+116279023+46511612</f>
        <v>232558046</v>
      </c>
      <c r="AT129" s="171">
        <f t="shared" si="34"/>
        <v>0.95</v>
      </c>
      <c r="AU129" s="171">
        <f t="shared" si="23"/>
        <v>1</v>
      </c>
      <c r="AV129" s="226" t="s">
        <v>706</v>
      </c>
      <c r="AW129" s="91"/>
      <c r="AX129" s="43"/>
      <c r="AY129" s="91"/>
      <c r="AZ129" s="92"/>
      <c r="BA129" s="92"/>
      <c r="BB129" s="92"/>
      <c r="BC129" s="46"/>
      <c r="BD129" s="92"/>
      <c r="BE129" s="47"/>
      <c r="BF129" s="99"/>
      <c r="BG129" s="99"/>
      <c r="BH129" s="99"/>
    </row>
    <row r="130" ht="104.25" customHeight="1">
      <c r="A130" s="21">
        <v>129.0</v>
      </c>
      <c r="B130" s="22">
        <v>2025.0</v>
      </c>
      <c r="C130" s="23" t="s">
        <v>696</v>
      </c>
      <c r="D130" s="80" t="s">
        <v>74</v>
      </c>
      <c r="E130" s="23" t="s">
        <v>544</v>
      </c>
      <c r="F130" s="25" t="s">
        <v>707</v>
      </c>
      <c r="G130" s="23" t="s">
        <v>295</v>
      </c>
      <c r="H130" s="23" t="s">
        <v>708</v>
      </c>
      <c r="I130" s="23" t="s">
        <v>120</v>
      </c>
      <c r="J130" s="23" t="s">
        <v>709</v>
      </c>
      <c r="K130" s="23" t="s">
        <v>710</v>
      </c>
      <c r="L130" s="23">
        <v>1.5</v>
      </c>
      <c r="M130" s="173">
        <v>100.0</v>
      </c>
      <c r="N130" s="162">
        <v>0.0</v>
      </c>
      <c r="O130" s="82">
        <v>1.2107678E8</v>
      </c>
      <c r="P130" s="82">
        <v>1.7861208E7</v>
      </c>
      <c r="Q130" s="163">
        <f t="shared" si="2"/>
        <v>138937988</v>
      </c>
      <c r="R130" s="164">
        <v>0.0</v>
      </c>
      <c r="S130" s="164">
        <v>0.0</v>
      </c>
      <c r="T130" s="165">
        <f t="shared" si="3"/>
        <v>138937988</v>
      </c>
      <c r="U130" s="83" t="s">
        <v>64</v>
      </c>
      <c r="V130" s="83" t="s">
        <v>64</v>
      </c>
      <c r="W130" s="175"/>
      <c r="X130" s="176">
        <v>46027.0</v>
      </c>
      <c r="Y130" s="176">
        <v>46073.0</v>
      </c>
      <c r="Z130" s="177">
        <v>0.0</v>
      </c>
      <c r="AA130" s="160">
        <v>1.0</v>
      </c>
      <c r="AB130" s="176">
        <v>46093.0</v>
      </c>
      <c r="AC130" s="38">
        <f t="shared" si="4"/>
        <v>-194</v>
      </c>
      <c r="AD130" s="27"/>
      <c r="AE130" s="27">
        <v>100.0</v>
      </c>
      <c r="AF130" s="27"/>
      <c r="AH130" s="95">
        <f t="shared" si="33"/>
        <v>100</v>
      </c>
      <c r="AI130" s="178">
        <v>100.0</v>
      </c>
      <c r="AJ130" s="88">
        <f t="shared" si="26"/>
        <v>0</v>
      </c>
      <c r="AK130" s="162"/>
      <c r="AL130" s="162"/>
      <c r="AM130" s="162"/>
      <c r="AN130" s="162"/>
      <c r="AO130" s="162">
        <v>0.0</v>
      </c>
      <c r="AP130" s="87">
        <v>100.0</v>
      </c>
      <c r="AQ130" s="162">
        <v>0.0</v>
      </c>
      <c r="AR130" s="82">
        <f t="shared" si="35"/>
        <v>121076780</v>
      </c>
      <c r="AS130" s="82">
        <f>36323034+78699907</f>
        <v>115022941</v>
      </c>
      <c r="AT130" s="171">
        <f t="shared" si="34"/>
        <v>1</v>
      </c>
      <c r="AU130" s="171">
        <f t="shared" si="23"/>
        <v>0.95</v>
      </c>
      <c r="AV130" s="226" t="s">
        <v>711</v>
      </c>
      <c r="AW130" s="74"/>
      <c r="AX130" s="75"/>
      <c r="AY130" s="74"/>
      <c r="AZ130" s="76"/>
      <c r="BA130" s="76"/>
      <c r="BB130" s="76"/>
      <c r="BC130" s="77"/>
      <c r="BD130" s="76"/>
      <c r="BE130" s="76"/>
      <c r="BF130" s="199"/>
      <c r="BG130" s="199"/>
      <c r="BH130" s="199"/>
    </row>
    <row r="131" ht="104.25" customHeight="1">
      <c r="A131" s="21">
        <v>130.0</v>
      </c>
      <c r="B131" s="22">
        <v>2025.0</v>
      </c>
      <c r="C131" s="23" t="s">
        <v>696</v>
      </c>
      <c r="D131" s="80" t="s">
        <v>74</v>
      </c>
      <c r="E131" s="23" t="s">
        <v>544</v>
      </c>
      <c r="F131" s="25" t="s">
        <v>712</v>
      </c>
      <c r="G131" s="23" t="s">
        <v>295</v>
      </c>
      <c r="H131" s="23" t="s">
        <v>713</v>
      </c>
      <c r="I131" s="23" t="s">
        <v>120</v>
      </c>
      <c r="J131" s="23" t="s">
        <v>714</v>
      </c>
      <c r="K131" s="23" t="s">
        <v>715</v>
      </c>
      <c r="L131" s="23">
        <v>1.5</v>
      </c>
      <c r="M131" s="173">
        <v>100.0</v>
      </c>
      <c r="N131" s="162">
        <v>0.0</v>
      </c>
      <c r="O131" s="82">
        <v>1.22309501E8</v>
      </c>
      <c r="P131" s="82">
        <v>1.3659984E7</v>
      </c>
      <c r="Q131" s="163">
        <f t="shared" si="2"/>
        <v>135969485</v>
      </c>
      <c r="R131" s="164">
        <v>0.0</v>
      </c>
      <c r="S131" s="164">
        <v>0.0</v>
      </c>
      <c r="T131" s="165">
        <f t="shared" si="3"/>
        <v>135969485</v>
      </c>
      <c r="U131" s="83" t="s">
        <v>64</v>
      </c>
      <c r="V131" s="83" t="s">
        <v>64</v>
      </c>
      <c r="W131" s="175"/>
      <c r="X131" s="176">
        <v>46027.0</v>
      </c>
      <c r="Y131" s="176">
        <v>46073.0</v>
      </c>
      <c r="Z131" s="177">
        <v>0.0</v>
      </c>
      <c r="AA131" s="160">
        <v>1.0</v>
      </c>
      <c r="AB131" s="176">
        <v>46093.0</v>
      </c>
      <c r="AC131" s="38">
        <f t="shared" si="4"/>
        <v>-194</v>
      </c>
      <c r="AD131" s="27"/>
      <c r="AE131" s="27">
        <v>100.0</v>
      </c>
      <c r="AF131" s="27"/>
      <c r="AH131" s="95">
        <f t="shared" si="33"/>
        <v>100</v>
      </c>
      <c r="AI131" s="178">
        <v>100.0</v>
      </c>
      <c r="AJ131" s="88">
        <f t="shared" si="26"/>
        <v>0</v>
      </c>
      <c r="AK131" s="162"/>
      <c r="AL131" s="162"/>
      <c r="AM131" s="162"/>
      <c r="AN131" s="162"/>
      <c r="AO131" s="162">
        <v>0.0</v>
      </c>
      <c r="AP131" s="87">
        <v>100.0</v>
      </c>
      <c r="AQ131" s="162">
        <v>0.0</v>
      </c>
      <c r="AR131" s="82">
        <f t="shared" si="35"/>
        <v>122309501</v>
      </c>
      <c r="AS131" s="82">
        <f>36692850+79501176</f>
        <v>116194026</v>
      </c>
      <c r="AT131" s="171">
        <f t="shared" si="34"/>
        <v>1</v>
      </c>
      <c r="AU131" s="171">
        <f t="shared" si="23"/>
        <v>0.9500000004</v>
      </c>
      <c r="AV131" s="226" t="s">
        <v>716</v>
      </c>
      <c r="AW131" s="74"/>
      <c r="AX131" s="75"/>
      <c r="AY131" s="74"/>
      <c r="AZ131" s="76"/>
      <c r="BA131" s="76"/>
      <c r="BB131" s="76"/>
      <c r="BC131" s="222"/>
      <c r="BD131" s="76"/>
      <c r="BE131" s="76"/>
      <c r="BF131" s="199"/>
      <c r="BG131" s="199"/>
      <c r="BH131" s="199"/>
    </row>
    <row r="132" ht="104.25" customHeight="1">
      <c r="A132" s="21">
        <v>131.0</v>
      </c>
      <c r="B132" s="22">
        <v>2025.0</v>
      </c>
      <c r="C132" s="23" t="s">
        <v>73</v>
      </c>
      <c r="D132" s="80" t="s">
        <v>74</v>
      </c>
      <c r="E132" s="23" t="s">
        <v>544</v>
      </c>
      <c r="F132" s="25" t="s">
        <v>717</v>
      </c>
      <c r="G132" s="23" t="s">
        <v>305</v>
      </c>
      <c r="H132" s="23" t="s">
        <v>718</v>
      </c>
      <c r="I132" s="23" t="s">
        <v>120</v>
      </c>
      <c r="J132" s="23" t="s">
        <v>719</v>
      </c>
      <c r="K132" s="23" t="s">
        <v>720</v>
      </c>
      <c r="L132" s="23">
        <v>1.5</v>
      </c>
      <c r="M132" s="173">
        <v>100.0</v>
      </c>
      <c r="N132" s="162">
        <v>0.0</v>
      </c>
      <c r="O132" s="82">
        <v>1.21406362E8</v>
      </c>
      <c r="P132" s="82">
        <v>1.1436244E7</v>
      </c>
      <c r="Q132" s="163">
        <f t="shared" si="2"/>
        <v>132842606</v>
      </c>
      <c r="R132" s="164">
        <v>0.0</v>
      </c>
      <c r="S132" s="164">
        <v>0.0</v>
      </c>
      <c r="T132" s="165">
        <f t="shared" si="3"/>
        <v>132842606</v>
      </c>
      <c r="U132" s="83" t="s">
        <v>64</v>
      </c>
      <c r="V132" s="83" t="s">
        <v>64</v>
      </c>
      <c r="W132" s="175"/>
      <c r="X132" s="176">
        <v>46001.0</v>
      </c>
      <c r="Y132" s="176">
        <v>46047.0</v>
      </c>
      <c r="Z132" s="177">
        <v>0.0</v>
      </c>
      <c r="AA132" s="160">
        <v>0.0</v>
      </c>
      <c r="AB132" s="176">
        <v>46047.0</v>
      </c>
      <c r="AC132" s="38">
        <f t="shared" si="4"/>
        <v>-240</v>
      </c>
      <c r="AD132" s="27"/>
      <c r="AE132" s="27">
        <v>100.0</v>
      </c>
      <c r="AF132" s="27"/>
      <c r="AH132" s="95">
        <f t="shared" si="33"/>
        <v>100</v>
      </c>
      <c r="AI132" s="178">
        <v>100.0</v>
      </c>
      <c r="AJ132" s="88">
        <f t="shared" si="26"/>
        <v>0</v>
      </c>
      <c r="AK132" s="162"/>
      <c r="AL132" s="162"/>
      <c r="AM132" s="162"/>
      <c r="AN132" s="162"/>
      <c r="AO132" s="162">
        <v>0.0</v>
      </c>
      <c r="AP132" s="87">
        <v>100.0</v>
      </c>
      <c r="AQ132" s="162">
        <v>0.0</v>
      </c>
      <c r="AR132" s="82">
        <f t="shared" si="35"/>
        <v>121406362</v>
      </c>
      <c r="AS132" s="82">
        <f>36421909+78914135</f>
        <v>115336044</v>
      </c>
      <c r="AT132" s="171">
        <f t="shared" si="34"/>
        <v>1</v>
      </c>
      <c r="AU132" s="171">
        <f t="shared" si="23"/>
        <v>0.9500000008</v>
      </c>
      <c r="AV132" s="23" t="s">
        <v>721</v>
      </c>
      <c r="AW132" s="74"/>
      <c r="AX132" s="75"/>
      <c r="AY132" s="74"/>
      <c r="AZ132" s="76"/>
      <c r="BA132" s="76"/>
      <c r="BB132" s="76"/>
      <c r="BC132" s="77"/>
      <c r="BD132" s="76"/>
      <c r="BE132" s="117"/>
      <c r="BF132" s="199"/>
      <c r="BG132" s="199"/>
      <c r="BH132" s="199"/>
    </row>
    <row r="133" ht="104.25" customHeight="1">
      <c r="A133" s="21">
        <v>132.0</v>
      </c>
      <c r="B133" s="22">
        <v>2025.0</v>
      </c>
      <c r="C133" s="23" t="s">
        <v>90</v>
      </c>
      <c r="D133" s="80" t="s">
        <v>74</v>
      </c>
      <c r="E133" s="23" t="s">
        <v>544</v>
      </c>
      <c r="F133" s="25" t="s">
        <v>722</v>
      </c>
      <c r="G133" s="23" t="s">
        <v>314</v>
      </c>
      <c r="H133" s="23" t="s">
        <v>723</v>
      </c>
      <c r="I133" s="23" t="s">
        <v>120</v>
      </c>
      <c r="J133" s="23" t="s">
        <v>724</v>
      </c>
      <c r="K133" s="23" t="s">
        <v>725</v>
      </c>
      <c r="L133" s="23">
        <v>1.5</v>
      </c>
      <c r="M133" s="173">
        <v>100.0</v>
      </c>
      <c r="N133" s="162">
        <v>0.0</v>
      </c>
      <c r="O133" s="82">
        <v>1.14185129E8</v>
      </c>
      <c r="P133" s="82">
        <v>1.4839507E7</v>
      </c>
      <c r="Q133" s="163">
        <f t="shared" si="2"/>
        <v>129024636</v>
      </c>
      <c r="R133" s="164">
        <v>0.0</v>
      </c>
      <c r="S133" s="164">
        <v>0.0</v>
      </c>
      <c r="T133" s="165">
        <f t="shared" si="3"/>
        <v>129024636</v>
      </c>
      <c r="U133" s="83" t="s">
        <v>64</v>
      </c>
      <c r="V133" s="83" t="s">
        <v>64</v>
      </c>
      <c r="W133" s="175"/>
      <c r="X133" s="176">
        <v>46002.0</v>
      </c>
      <c r="Y133" s="176">
        <v>46048.0</v>
      </c>
      <c r="Z133" s="177">
        <v>0.0</v>
      </c>
      <c r="AA133" s="160">
        <v>0.0</v>
      </c>
      <c r="AB133" s="176">
        <v>46048.0</v>
      </c>
      <c r="AC133" s="38">
        <f t="shared" si="4"/>
        <v>-239</v>
      </c>
      <c r="AD133" s="27"/>
      <c r="AE133" s="27">
        <v>100.0</v>
      </c>
      <c r="AF133" s="27"/>
      <c r="AH133" s="95">
        <f t="shared" si="33"/>
        <v>100</v>
      </c>
      <c r="AI133" s="178">
        <v>100.0</v>
      </c>
      <c r="AJ133" s="88">
        <f t="shared" si="26"/>
        <v>0</v>
      </c>
      <c r="AK133" s="162"/>
      <c r="AL133" s="162"/>
      <c r="AM133" s="162"/>
      <c r="AN133" s="162"/>
      <c r="AO133" s="162">
        <v>0.0</v>
      </c>
      <c r="AP133" s="87">
        <v>100.0</v>
      </c>
      <c r="AQ133" s="162">
        <v>0.0</v>
      </c>
      <c r="AR133" s="82">
        <f t="shared" si="35"/>
        <v>114185129</v>
      </c>
      <c r="AS133" s="82">
        <f>34255539+74220334</f>
        <v>108475873</v>
      </c>
      <c r="AT133" s="171">
        <f t="shared" si="34"/>
        <v>1</v>
      </c>
      <c r="AU133" s="171">
        <f t="shared" si="23"/>
        <v>0.9500000039</v>
      </c>
      <c r="AV133" s="23" t="s">
        <v>726</v>
      </c>
      <c r="AW133" s="74"/>
      <c r="AX133" s="75"/>
      <c r="AY133" s="74"/>
      <c r="AZ133" s="76"/>
      <c r="BA133" s="76"/>
      <c r="BB133" s="76"/>
      <c r="BC133" s="77"/>
      <c r="BD133" s="76"/>
      <c r="BE133" s="117"/>
      <c r="BF133" s="199"/>
      <c r="BG133" s="199"/>
      <c r="BH133" s="199"/>
    </row>
    <row r="134" ht="104.25" customHeight="1">
      <c r="A134" s="21">
        <v>133.0</v>
      </c>
      <c r="B134" s="22">
        <v>2025.0</v>
      </c>
      <c r="C134" s="23" t="s">
        <v>328</v>
      </c>
      <c r="D134" s="80" t="s">
        <v>74</v>
      </c>
      <c r="E134" s="23" t="s">
        <v>544</v>
      </c>
      <c r="F134" s="25" t="s">
        <v>727</v>
      </c>
      <c r="G134" s="23" t="s">
        <v>728</v>
      </c>
      <c r="H134" s="23" t="s">
        <v>729</v>
      </c>
      <c r="I134" s="23" t="s">
        <v>104</v>
      </c>
      <c r="J134" s="23" t="s">
        <v>730</v>
      </c>
      <c r="K134" s="23" t="s">
        <v>731</v>
      </c>
      <c r="L134" s="23">
        <v>1.5</v>
      </c>
      <c r="M134" s="173">
        <v>100.0</v>
      </c>
      <c r="N134" s="162">
        <v>0.0</v>
      </c>
      <c r="O134" s="82">
        <v>1.01508608E8</v>
      </c>
      <c r="P134" s="82">
        <v>8902787.0</v>
      </c>
      <c r="Q134" s="163">
        <f t="shared" si="2"/>
        <v>110411395</v>
      </c>
      <c r="R134" s="164">
        <v>0.0</v>
      </c>
      <c r="S134" s="164">
        <v>0.0</v>
      </c>
      <c r="T134" s="165">
        <f t="shared" si="3"/>
        <v>110411395</v>
      </c>
      <c r="U134" s="83" t="s">
        <v>64</v>
      </c>
      <c r="V134" s="83" t="s">
        <v>64</v>
      </c>
      <c r="W134" s="175"/>
      <c r="X134" s="176">
        <v>46001.0</v>
      </c>
      <c r="Y134" s="176">
        <v>46047.0</v>
      </c>
      <c r="Z134" s="177">
        <v>0.0</v>
      </c>
      <c r="AA134" s="160">
        <v>0.0</v>
      </c>
      <c r="AB134" s="176">
        <v>46047.0</v>
      </c>
      <c r="AC134" s="38">
        <f t="shared" si="4"/>
        <v>-240</v>
      </c>
      <c r="AD134" s="27"/>
      <c r="AE134" s="27">
        <v>100.0</v>
      </c>
      <c r="AF134" s="27"/>
      <c r="AH134" s="95">
        <f t="shared" si="33"/>
        <v>100</v>
      </c>
      <c r="AI134" s="178">
        <v>100.0</v>
      </c>
      <c r="AJ134" s="88">
        <f t="shared" si="26"/>
        <v>0</v>
      </c>
      <c r="AK134" s="162"/>
      <c r="AL134" s="162"/>
      <c r="AM134" s="162"/>
      <c r="AN134" s="162"/>
      <c r="AO134" s="162">
        <v>0.0</v>
      </c>
      <c r="AP134" s="87">
        <v>100.0</v>
      </c>
      <c r="AQ134" s="162">
        <v>0.0</v>
      </c>
      <c r="AR134" s="82">
        <f t="shared" si="35"/>
        <v>101508608</v>
      </c>
      <c r="AS134" s="82">
        <f>30452582+65980595</f>
        <v>96433177</v>
      </c>
      <c r="AT134" s="171">
        <f t="shared" si="34"/>
        <v>1</v>
      </c>
      <c r="AU134" s="171">
        <f t="shared" si="23"/>
        <v>0.9499999941</v>
      </c>
      <c r="AV134" s="97" t="s">
        <v>732</v>
      </c>
      <c r="AW134" s="74"/>
      <c r="AX134" s="75"/>
      <c r="AY134" s="74"/>
      <c r="AZ134" s="76"/>
      <c r="BA134" s="76"/>
      <c r="BB134" s="76"/>
      <c r="BC134" s="77"/>
      <c r="BD134" s="76"/>
      <c r="BE134" s="76"/>
      <c r="BF134" s="199"/>
      <c r="BG134" s="199"/>
      <c r="BH134" s="199"/>
    </row>
    <row r="135" ht="104.25" customHeight="1">
      <c r="A135" s="21">
        <v>134.0</v>
      </c>
      <c r="B135" s="22">
        <v>2025.0</v>
      </c>
      <c r="C135" s="23" t="s">
        <v>328</v>
      </c>
      <c r="D135" s="80" t="s">
        <v>74</v>
      </c>
      <c r="E135" s="23" t="s">
        <v>544</v>
      </c>
      <c r="F135" s="25" t="s">
        <v>733</v>
      </c>
      <c r="G135" s="23" t="s">
        <v>728</v>
      </c>
      <c r="H135" s="23" t="s">
        <v>734</v>
      </c>
      <c r="I135" s="23" t="s">
        <v>104</v>
      </c>
      <c r="J135" s="23" t="s">
        <v>735</v>
      </c>
      <c r="K135" s="23" t="s">
        <v>736</v>
      </c>
      <c r="L135" s="23">
        <v>1.5</v>
      </c>
      <c r="M135" s="173">
        <v>100.0</v>
      </c>
      <c r="N135" s="162">
        <v>0.0</v>
      </c>
      <c r="O135" s="82">
        <v>9.9638658E7</v>
      </c>
      <c r="P135" s="82">
        <v>1.3439899E7</v>
      </c>
      <c r="Q135" s="163">
        <f t="shared" si="2"/>
        <v>113078557</v>
      </c>
      <c r="R135" s="164">
        <v>0.0</v>
      </c>
      <c r="S135" s="164">
        <v>0.0</v>
      </c>
      <c r="T135" s="165">
        <f t="shared" si="3"/>
        <v>113078557</v>
      </c>
      <c r="U135" s="83" t="s">
        <v>64</v>
      </c>
      <c r="V135" s="83" t="s">
        <v>64</v>
      </c>
      <c r="W135" s="175"/>
      <c r="X135" s="176">
        <v>46042.0</v>
      </c>
      <c r="Y135" s="176">
        <v>46088.0</v>
      </c>
      <c r="Z135" s="177">
        <v>0.0</v>
      </c>
      <c r="AA135" s="177">
        <v>0.8</v>
      </c>
      <c r="AB135" s="176">
        <v>46108.0</v>
      </c>
      <c r="AC135" s="38">
        <f t="shared" si="4"/>
        <v>-179</v>
      </c>
      <c r="AD135" s="27"/>
      <c r="AE135" s="27">
        <v>100.0</v>
      </c>
      <c r="AF135" s="27"/>
      <c r="AH135" s="95">
        <f t="shared" si="33"/>
        <v>100</v>
      </c>
      <c r="AI135" s="178">
        <v>100.0</v>
      </c>
      <c r="AJ135" s="88">
        <f t="shared" si="26"/>
        <v>0</v>
      </c>
      <c r="AK135" s="162"/>
      <c r="AL135" s="162"/>
      <c r="AM135" s="162"/>
      <c r="AN135" s="162"/>
      <c r="AO135" s="162">
        <v>0.0</v>
      </c>
      <c r="AP135" s="87">
        <v>100.0</v>
      </c>
      <c r="AQ135" s="162">
        <v>0.0</v>
      </c>
      <c r="AR135" s="82">
        <f t="shared" si="35"/>
        <v>99638658</v>
      </c>
      <c r="AS135" s="82">
        <f>29891597+64765128</f>
        <v>94656725</v>
      </c>
      <c r="AT135" s="171">
        <f t="shared" si="34"/>
        <v>1</v>
      </c>
      <c r="AU135" s="171">
        <f t="shared" si="23"/>
        <v>0.949999999</v>
      </c>
      <c r="AV135" s="97" t="s">
        <v>737</v>
      </c>
      <c r="AW135" s="74"/>
      <c r="AX135" s="75"/>
      <c r="AY135" s="74"/>
      <c r="AZ135" s="76"/>
      <c r="BA135" s="76"/>
      <c r="BB135" s="76"/>
      <c r="BC135" s="222"/>
      <c r="BD135" s="76"/>
      <c r="BE135" s="76"/>
      <c r="BF135" s="199"/>
      <c r="BG135" s="199"/>
      <c r="BH135" s="199"/>
    </row>
    <row r="136" ht="104.25" customHeight="1">
      <c r="A136" s="21">
        <v>135.0</v>
      </c>
      <c r="B136" s="22">
        <v>2025.0</v>
      </c>
      <c r="C136" s="23" t="s">
        <v>328</v>
      </c>
      <c r="D136" s="80" t="s">
        <v>74</v>
      </c>
      <c r="E136" s="23" t="s">
        <v>544</v>
      </c>
      <c r="F136" s="25" t="s">
        <v>738</v>
      </c>
      <c r="G136" s="23" t="s">
        <v>728</v>
      </c>
      <c r="H136" s="23" t="s">
        <v>739</v>
      </c>
      <c r="I136" s="23" t="s">
        <v>104</v>
      </c>
      <c r="J136" s="23" t="s">
        <v>740</v>
      </c>
      <c r="K136" s="23" t="s">
        <v>741</v>
      </c>
      <c r="L136" s="23">
        <v>1.5</v>
      </c>
      <c r="M136" s="173">
        <v>100.0</v>
      </c>
      <c r="N136" s="162">
        <v>0.0</v>
      </c>
      <c r="O136" s="82">
        <v>1.21910004E8</v>
      </c>
      <c r="P136" s="82">
        <v>1.5729347E7</v>
      </c>
      <c r="Q136" s="163">
        <f t="shared" si="2"/>
        <v>137639351</v>
      </c>
      <c r="R136" s="164">
        <v>0.0</v>
      </c>
      <c r="S136" s="164">
        <v>0.0</v>
      </c>
      <c r="T136" s="165">
        <f t="shared" si="3"/>
        <v>137639351</v>
      </c>
      <c r="U136" s="83" t="s">
        <v>64</v>
      </c>
      <c r="V136" s="83" t="s">
        <v>64</v>
      </c>
      <c r="W136" s="175"/>
      <c r="X136" s="176">
        <v>46042.0</v>
      </c>
      <c r="Y136" s="176">
        <v>46088.0</v>
      </c>
      <c r="Z136" s="177">
        <v>0.0</v>
      </c>
      <c r="AA136" s="160">
        <v>0.0</v>
      </c>
      <c r="AB136" s="176">
        <v>46108.0</v>
      </c>
      <c r="AC136" s="38">
        <f t="shared" si="4"/>
        <v>-179</v>
      </c>
      <c r="AD136" s="27"/>
      <c r="AE136" s="27">
        <v>100.0</v>
      </c>
      <c r="AF136" s="27"/>
      <c r="AH136" s="95">
        <f t="shared" si="33"/>
        <v>100</v>
      </c>
      <c r="AI136" s="178">
        <v>100.0</v>
      </c>
      <c r="AJ136" s="88">
        <f t="shared" si="26"/>
        <v>0</v>
      </c>
      <c r="AK136" s="162"/>
      <c r="AL136" s="162"/>
      <c r="AM136" s="162"/>
      <c r="AN136" s="162"/>
      <c r="AO136" s="162">
        <v>0.0</v>
      </c>
      <c r="AP136" s="87">
        <v>100.0</v>
      </c>
      <c r="AQ136" s="162">
        <v>0.0</v>
      </c>
      <c r="AR136" s="82">
        <f t="shared" si="35"/>
        <v>121910004</v>
      </c>
      <c r="AS136" s="82">
        <f>36573001+79241502</f>
        <v>115814503</v>
      </c>
      <c r="AT136" s="171">
        <f t="shared" si="34"/>
        <v>1</v>
      </c>
      <c r="AU136" s="171">
        <f t="shared" si="23"/>
        <v>0.9499999934</v>
      </c>
      <c r="AV136" s="97" t="s">
        <v>742</v>
      </c>
      <c r="AW136" s="74"/>
      <c r="AX136" s="75"/>
      <c r="AY136" s="74"/>
      <c r="AZ136" s="76"/>
      <c r="BA136" s="76"/>
      <c r="BB136" s="76"/>
      <c r="BC136" s="77"/>
      <c r="BD136" s="76"/>
      <c r="BE136" s="117"/>
      <c r="BF136" s="199"/>
      <c r="BG136" s="199"/>
      <c r="BH136" s="199"/>
    </row>
    <row r="137" ht="104.25" customHeight="1">
      <c r="A137" s="21">
        <v>136.0</v>
      </c>
      <c r="B137" s="22">
        <v>2025.0</v>
      </c>
      <c r="C137" s="23" t="s">
        <v>389</v>
      </c>
      <c r="D137" s="80" t="s">
        <v>74</v>
      </c>
      <c r="E137" s="23" t="s">
        <v>544</v>
      </c>
      <c r="F137" s="25" t="s">
        <v>743</v>
      </c>
      <c r="G137" s="23" t="s">
        <v>744</v>
      </c>
      <c r="H137" s="23" t="s">
        <v>745</v>
      </c>
      <c r="I137" s="23" t="s">
        <v>61</v>
      </c>
      <c r="J137" s="23" t="s">
        <v>746</v>
      </c>
      <c r="K137" s="23" t="s">
        <v>747</v>
      </c>
      <c r="L137" s="23">
        <v>1.5</v>
      </c>
      <c r="M137" s="173">
        <v>100.0</v>
      </c>
      <c r="N137" s="162">
        <v>0.0</v>
      </c>
      <c r="O137" s="82">
        <v>1.22381125E8</v>
      </c>
      <c r="P137" s="82">
        <v>1.8935627E7</v>
      </c>
      <c r="Q137" s="163">
        <f t="shared" si="2"/>
        <v>141316752</v>
      </c>
      <c r="R137" s="164">
        <v>0.0</v>
      </c>
      <c r="S137" s="164">
        <v>0.0</v>
      </c>
      <c r="T137" s="165">
        <f t="shared" si="3"/>
        <v>141316752</v>
      </c>
      <c r="U137" s="83" t="s">
        <v>64</v>
      </c>
      <c r="V137" s="83" t="s">
        <v>64</v>
      </c>
      <c r="W137" s="175"/>
      <c r="X137" s="176">
        <v>46128.0</v>
      </c>
      <c r="Y137" s="176">
        <v>46142.0</v>
      </c>
      <c r="Z137" s="177">
        <v>0.0</v>
      </c>
      <c r="AA137" s="160">
        <v>0.0</v>
      </c>
      <c r="AB137" s="176">
        <v>46142.0</v>
      </c>
      <c r="AC137" s="38">
        <f t="shared" si="4"/>
        <v>-145</v>
      </c>
      <c r="AD137" s="27"/>
      <c r="AE137" s="81">
        <v>100.0</v>
      </c>
      <c r="AF137" s="81"/>
      <c r="AG137" s="279"/>
      <c r="AH137" s="95">
        <f t="shared" si="33"/>
        <v>100</v>
      </c>
      <c r="AI137" s="197">
        <v>100.0</v>
      </c>
      <c r="AJ137" s="88">
        <f t="shared" si="26"/>
        <v>0</v>
      </c>
      <c r="AK137" s="162"/>
      <c r="AL137" s="162"/>
      <c r="AM137" s="162"/>
      <c r="AN137" s="162"/>
      <c r="AO137" s="162">
        <v>0.0</v>
      </c>
      <c r="AP137" s="178">
        <v>100.0</v>
      </c>
      <c r="AQ137" s="162">
        <v>0.0</v>
      </c>
      <c r="AR137" s="82">
        <f t="shared" si="35"/>
        <v>122381125</v>
      </c>
      <c r="AS137" s="82">
        <f>36714337+70981053</f>
        <v>107695390</v>
      </c>
      <c r="AT137" s="265">
        <f t="shared" si="34"/>
        <v>1</v>
      </c>
      <c r="AU137" s="265">
        <f t="shared" si="23"/>
        <v>0.88</v>
      </c>
      <c r="AV137" s="97" t="s">
        <v>748</v>
      </c>
      <c r="AW137" s="74"/>
      <c r="AX137" s="75"/>
      <c r="AY137" s="74"/>
      <c r="AZ137" s="76"/>
      <c r="BA137" s="76"/>
      <c r="BB137" s="76"/>
      <c r="BC137" s="77"/>
      <c r="BD137" s="76"/>
      <c r="BE137" s="117"/>
      <c r="BF137" s="199"/>
      <c r="BG137" s="199"/>
      <c r="BH137" s="199"/>
    </row>
    <row r="138" ht="104.25" customHeight="1">
      <c r="A138" s="21">
        <v>137.0</v>
      </c>
      <c r="B138" s="22">
        <v>2025.0</v>
      </c>
      <c r="C138" s="23" t="s">
        <v>90</v>
      </c>
      <c r="D138" s="80" t="s">
        <v>74</v>
      </c>
      <c r="E138" s="23" t="s">
        <v>544</v>
      </c>
      <c r="F138" s="25" t="s">
        <v>749</v>
      </c>
      <c r="G138" s="23" t="s">
        <v>114</v>
      </c>
      <c r="H138" s="23" t="s">
        <v>750</v>
      </c>
      <c r="I138" s="23" t="s">
        <v>104</v>
      </c>
      <c r="J138" s="23" t="s">
        <v>751</v>
      </c>
      <c r="K138" s="23" t="s">
        <v>752</v>
      </c>
      <c r="L138" s="23">
        <v>1.5</v>
      </c>
      <c r="M138" s="173">
        <v>500.0</v>
      </c>
      <c r="N138" s="162">
        <v>0.0</v>
      </c>
      <c r="O138" s="82">
        <v>5.95495644E8</v>
      </c>
      <c r="P138" s="82">
        <v>3.1297041E7</v>
      </c>
      <c r="Q138" s="163">
        <f t="shared" si="2"/>
        <v>626792685</v>
      </c>
      <c r="R138" s="164">
        <v>0.0</v>
      </c>
      <c r="S138" s="164">
        <v>0.0</v>
      </c>
      <c r="T138" s="165">
        <f t="shared" si="3"/>
        <v>626792685</v>
      </c>
      <c r="U138" s="83" t="s">
        <v>64</v>
      </c>
      <c r="V138" s="83" t="s">
        <v>64</v>
      </c>
      <c r="W138" s="175"/>
      <c r="X138" s="176">
        <v>46006.0</v>
      </c>
      <c r="Y138" s="176">
        <v>46096.0</v>
      </c>
      <c r="Z138" s="177">
        <v>1.5</v>
      </c>
      <c r="AA138" s="177">
        <v>2.5</v>
      </c>
      <c r="AB138" s="176">
        <v>46218.0</v>
      </c>
      <c r="AC138" s="38">
        <f t="shared" si="4"/>
        <v>-69</v>
      </c>
      <c r="AD138" s="27"/>
      <c r="AE138" s="27">
        <v>365.0</v>
      </c>
      <c r="AF138" s="27"/>
      <c r="AH138" s="95">
        <f t="shared" si="33"/>
        <v>365</v>
      </c>
      <c r="AI138" s="173">
        <v>365.0</v>
      </c>
      <c r="AJ138" s="88">
        <f t="shared" si="26"/>
        <v>0</v>
      </c>
      <c r="AK138" s="162"/>
      <c r="AL138" s="162"/>
      <c r="AM138" s="162"/>
      <c r="AN138" s="162"/>
      <c r="AO138" s="162">
        <v>0.0</v>
      </c>
      <c r="AP138" s="178">
        <v>365.0</v>
      </c>
      <c r="AQ138" s="162">
        <v>0.0</v>
      </c>
      <c r="AR138" s="82">
        <v>4.71485037E8</v>
      </c>
      <c r="AS138" s="82">
        <f>178647793+198540236</f>
        <v>377188029</v>
      </c>
      <c r="AT138" s="265">
        <f t="shared" si="34"/>
        <v>0.73</v>
      </c>
      <c r="AU138" s="265">
        <f t="shared" si="23"/>
        <v>0.7999999987</v>
      </c>
      <c r="AV138" s="97" t="s">
        <v>753</v>
      </c>
      <c r="AW138" s="74"/>
      <c r="AX138" s="75"/>
      <c r="AY138" s="74"/>
      <c r="AZ138" s="76"/>
      <c r="BA138" s="76"/>
      <c r="BB138" s="76"/>
      <c r="BC138" s="77"/>
      <c r="BD138" s="76"/>
      <c r="BE138" s="76"/>
      <c r="BF138" s="199"/>
      <c r="BG138" s="199"/>
      <c r="BH138" s="199"/>
    </row>
    <row r="139" ht="104.25" customHeight="1">
      <c r="A139" s="21">
        <v>138.0</v>
      </c>
      <c r="B139" s="22">
        <v>2025.0</v>
      </c>
      <c r="C139" s="23" t="s">
        <v>389</v>
      </c>
      <c r="D139" s="80" t="s">
        <v>74</v>
      </c>
      <c r="E139" s="23" t="s">
        <v>544</v>
      </c>
      <c r="F139" s="25" t="s">
        <v>754</v>
      </c>
      <c r="G139" s="23" t="s">
        <v>755</v>
      </c>
      <c r="H139" s="23" t="s">
        <v>756</v>
      </c>
      <c r="I139" s="23" t="s">
        <v>61</v>
      </c>
      <c r="J139" s="23" t="s">
        <v>757</v>
      </c>
      <c r="K139" s="23" t="s">
        <v>758</v>
      </c>
      <c r="L139" s="23">
        <v>1.5</v>
      </c>
      <c r="M139" s="173">
        <v>100.0</v>
      </c>
      <c r="N139" s="162">
        <v>0.0</v>
      </c>
      <c r="O139" s="82">
        <v>1.22411794E8</v>
      </c>
      <c r="P139" s="82">
        <v>8999214.0</v>
      </c>
      <c r="Q139" s="163">
        <f t="shared" si="2"/>
        <v>131411008</v>
      </c>
      <c r="R139" s="164">
        <v>0.0</v>
      </c>
      <c r="S139" s="164">
        <v>0.0</v>
      </c>
      <c r="T139" s="165">
        <f t="shared" si="3"/>
        <v>131411008</v>
      </c>
      <c r="U139" s="83" t="s">
        <v>64</v>
      </c>
      <c r="V139" s="83" t="s">
        <v>64</v>
      </c>
      <c r="W139" s="175"/>
      <c r="X139" s="176">
        <v>46099.0</v>
      </c>
      <c r="Y139" s="176">
        <v>46145.0</v>
      </c>
      <c r="Z139" s="177">
        <v>0.0</v>
      </c>
      <c r="AA139" s="177">
        <v>0.0</v>
      </c>
      <c r="AB139" s="176">
        <v>46145.0</v>
      </c>
      <c r="AC139" s="38">
        <f t="shared" si="4"/>
        <v>-142</v>
      </c>
      <c r="AD139" s="27"/>
      <c r="AE139" s="27">
        <v>100.0</v>
      </c>
      <c r="AF139" s="27"/>
      <c r="AH139" s="95">
        <f t="shared" si="33"/>
        <v>100</v>
      </c>
      <c r="AI139" s="178">
        <v>100.0</v>
      </c>
      <c r="AJ139" s="88">
        <f t="shared" si="26"/>
        <v>0</v>
      </c>
      <c r="AK139" s="162"/>
      <c r="AL139" s="162"/>
      <c r="AM139" s="162"/>
      <c r="AN139" s="162"/>
      <c r="AO139" s="162">
        <v>0.0</v>
      </c>
      <c r="AP139" s="87">
        <v>100.0</v>
      </c>
      <c r="AQ139" s="162">
        <v>0.0</v>
      </c>
      <c r="AR139" s="82">
        <f t="shared" ref="AR139:AR148" si="36">O139</f>
        <v>122411794</v>
      </c>
      <c r="AS139" s="82">
        <f>36723538+76567619</f>
        <v>113291157</v>
      </c>
      <c r="AT139" s="171">
        <f t="shared" si="34"/>
        <v>1</v>
      </c>
      <c r="AU139" s="171">
        <f t="shared" si="23"/>
        <v>0.9254921711</v>
      </c>
      <c r="AV139" s="97" t="s">
        <v>759</v>
      </c>
      <c r="AW139" s="74"/>
      <c r="AX139" s="75"/>
      <c r="AY139" s="74"/>
      <c r="AZ139" s="76"/>
      <c r="BA139" s="76"/>
      <c r="BB139" s="76"/>
      <c r="BC139" s="222"/>
      <c r="BD139" s="76"/>
      <c r="BE139" s="76"/>
      <c r="BF139" s="199"/>
      <c r="BG139" s="199"/>
      <c r="BH139" s="199"/>
    </row>
    <row r="140" ht="104.25" customHeight="1">
      <c r="A140" s="21">
        <v>139.0</v>
      </c>
      <c r="B140" s="22">
        <v>2025.0</v>
      </c>
      <c r="C140" s="23" t="s">
        <v>632</v>
      </c>
      <c r="D140" s="80" t="s">
        <v>74</v>
      </c>
      <c r="E140" s="23" t="s">
        <v>544</v>
      </c>
      <c r="F140" s="25" t="s">
        <v>760</v>
      </c>
      <c r="G140" s="23" t="s">
        <v>517</v>
      </c>
      <c r="H140" s="23" t="s">
        <v>761</v>
      </c>
      <c r="I140" s="23" t="s">
        <v>762</v>
      </c>
      <c r="J140" s="23" t="s">
        <v>763</v>
      </c>
      <c r="K140" s="23" t="s">
        <v>764</v>
      </c>
      <c r="L140" s="23">
        <v>1.5</v>
      </c>
      <c r="M140" s="173">
        <v>100.0</v>
      </c>
      <c r="N140" s="162">
        <v>0.0</v>
      </c>
      <c r="O140" s="82">
        <v>1.14155834E8</v>
      </c>
      <c r="P140" s="82">
        <v>1.4316648E7</v>
      </c>
      <c r="Q140" s="163">
        <f t="shared" si="2"/>
        <v>128472482</v>
      </c>
      <c r="R140" s="164">
        <v>0.0</v>
      </c>
      <c r="S140" s="164">
        <v>0.0</v>
      </c>
      <c r="T140" s="165">
        <f t="shared" si="3"/>
        <v>128472482</v>
      </c>
      <c r="U140" s="83" t="s">
        <v>64</v>
      </c>
      <c r="V140" s="83" t="s">
        <v>64</v>
      </c>
      <c r="W140" s="175"/>
      <c r="X140" s="176">
        <v>46084.0</v>
      </c>
      <c r="Y140" s="176">
        <v>46130.0</v>
      </c>
      <c r="Z140" s="177">
        <v>0.0</v>
      </c>
      <c r="AA140" s="177">
        <v>0.0</v>
      </c>
      <c r="AB140" s="176">
        <v>46130.0</v>
      </c>
      <c r="AC140" s="38">
        <f t="shared" si="4"/>
        <v>-157</v>
      </c>
      <c r="AD140" s="27"/>
      <c r="AE140" s="27">
        <v>100.0</v>
      </c>
      <c r="AF140" s="27"/>
      <c r="AH140" s="95">
        <f t="shared" si="33"/>
        <v>100</v>
      </c>
      <c r="AI140" s="178">
        <v>100.0</v>
      </c>
      <c r="AJ140" s="88">
        <f t="shared" si="26"/>
        <v>0</v>
      </c>
      <c r="AK140" s="162"/>
      <c r="AL140" s="162"/>
      <c r="AM140" s="162"/>
      <c r="AN140" s="162"/>
      <c r="AO140" s="162">
        <v>0.0</v>
      </c>
      <c r="AP140" s="87">
        <v>100.0</v>
      </c>
      <c r="AQ140" s="162">
        <v>0.0</v>
      </c>
      <c r="AR140" s="82">
        <f t="shared" si="36"/>
        <v>114155834</v>
      </c>
      <c r="AS140" s="82">
        <v>3.424675E7</v>
      </c>
      <c r="AT140" s="171">
        <f t="shared" si="34"/>
        <v>1</v>
      </c>
      <c r="AU140" s="265">
        <f t="shared" si="23"/>
        <v>0.2999999982</v>
      </c>
      <c r="AV140" s="23" t="s">
        <v>765</v>
      </c>
      <c r="AW140" s="74"/>
      <c r="AX140" s="75"/>
      <c r="AY140" s="74"/>
      <c r="AZ140" s="76"/>
      <c r="BA140" s="76"/>
      <c r="BB140" s="76"/>
      <c r="BC140" s="77"/>
      <c r="BD140" s="76"/>
      <c r="BE140" s="117"/>
      <c r="BF140" s="199"/>
      <c r="BG140" s="199"/>
      <c r="BH140" s="199"/>
    </row>
    <row r="141" ht="104.25" customHeight="1">
      <c r="A141" s="21">
        <v>140.0</v>
      </c>
      <c r="B141" s="22">
        <v>2025.0</v>
      </c>
      <c r="C141" s="23" t="s">
        <v>632</v>
      </c>
      <c r="D141" s="80" t="s">
        <v>74</v>
      </c>
      <c r="E141" s="23" t="s">
        <v>544</v>
      </c>
      <c r="F141" s="25" t="s">
        <v>766</v>
      </c>
      <c r="G141" s="23" t="s">
        <v>686</v>
      </c>
      <c r="H141" s="23" t="s">
        <v>767</v>
      </c>
      <c r="I141" s="23" t="s">
        <v>120</v>
      </c>
      <c r="J141" s="23" t="s">
        <v>768</v>
      </c>
      <c r="K141" s="23" t="s">
        <v>769</v>
      </c>
      <c r="L141" s="23">
        <v>1.5</v>
      </c>
      <c r="M141" s="173">
        <v>100.0</v>
      </c>
      <c r="N141" s="162">
        <v>0.0</v>
      </c>
      <c r="O141" s="82">
        <v>1.20681315E8</v>
      </c>
      <c r="P141" s="82">
        <v>1.4533622E7</v>
      </c>
      <c r="Q141" s="163">
        <f t="shared" si="2"/>
        <v>135214937</v>
      </c>
      <c r="R141" s="164">
        <v>0.0</v>
      </c>
      <c r="S141" s="164">
        <v>0.0</v>
      </c>
      <c r="T141" s="165">
        <f t="shared" si="3"/>
        <v>135214937</v>
      </c>
      <c r="U141" s="83" t="s">
        <v>64</v>
      </c>
      <c r="V141" s="83" t="s">
        <v>64</v>
      </c>
      <c r="W141" s="175"/>
      <c r="X141" s="176">
        <v>46042.0</v>
      </c>
      <c r="Y141" s="176">
        <v>46088.0</v>
      </c>
      <c r="Z141" s="177">
        <v>0.0</v>
      </c>
      <c r="AA141" s="177">
        <v>0.5</v>
      </c>
      <c r="AB141" s="176">
        <v>46103.0</v>
      </c>
      <c r="AC141" s="38">
        <f t="shared" si="4"/>
        <v>-184</v>
      </c>
      <c r="AD141" s="27"/>
      <c r="AE141" s="27">
        <v>100.0</v>
      </c>
      <c r="AF141" s="27"/>
      <c r="AH141" s="95">
        <f t="shared" si="33"/>
        <v>100</v>
      </c>
      <c r="AI141" s="178">
        <v>100.0</v>
      </c>
      <c r="AJ141" s="88">
        <f t="shared" si="26"/>
        <v>0</v>
      </c>
      <c r="AK141" s="162"/>
      <c r="AL141" s="162"/>
      <c r="AM141" s="162"/>
      <c r="AN141" s="162"/>
      <c r="AO141" s="162">
        <v>0.0</v>
      </c>
      <c r="AP141" s="87">
        <v>100.0</v>
      </c>
      <c r="AQ141" s="162">
        <v>0.0</v>
      </c>
      <c r="AR141" s="82">
        <f t="shared" si="36"/>
        <v>120681315</v>
      </c>
      <c r="AS141" s="82">
        <f>36204395+78442855</f>
        <v>114647250</v>
      </c>
      <c r="AT141" s="171">
        <f t="shared" si="34"/>
        <v>1</v>
      </c>
      <c r="AU141" s="171">
        <f t="shared" si="23"/>
        <v>0.9500000062</v>
      </c>
      <c r="AV141" s="23" t="s">
        <v>770</v>
      </c>
      <c r="AW141" s="74"/>
      <c r="AX141" s="75"/>
      <c r="AY141" s="74"/>
      <c r="AZ141" s="76"/>
      <c r="BA141" s="76"/>
      <c r="BB141" s="76"/>
      <c r="BC141" s="77"/>
      <c r="BD141" s="76"/>
      <c r="BE141" s="117"/>
      <c r="BF141" s="199"/>
      <c r="BG141" s="199"/>
      <c r="BH141" s="199"/>
    </row>
    <row r="142" ht="104.25" customHeight="1">
      <c r="A142" s="21">
        <v>141.0</v>
      </c>
      <c r="B142" s="22">
        <v>2025.0</v>
      </c>
      <c r="C142" s="23" t="s">
        <v>389</v>
      </c>
      <c r="D142" s="80" t="s">
        <v>74</v>
      </c>
      <c r="E142" s="23" t="s">
        <v>544</v>
      </c>
      <c r="F142" s="25" t="s">
        <v>771</v>
      </c>
      <c r="G142" s="23" t="s">
        <v>60</v>
      </c>
      <c r="H142" s="23" t="s">
        <v>772</v>
      </c>
      <c r="I142" s="23" t="s">
        <v>61</v>
      </c>
      <c r="J142" s="23" t="s">
        <v>773</v>
      </c>
      <c r="K142" s="23" t="s">
        <v>774</v>
      </c>
      <c r="L142" s="23">
        <v>1.5</v>
      </c>
      <c r="M142" s="173">
        <v>100.0</v>
      </c>
      <c r="N142" s="162">
        <v>0.0</v>
      </c>
      <c r="O142" s="82">
        <v>1.22487624E8</v>
      </c>
      <c r="P142" s="82">
        <v>1.7392631E7</v>
      </c>
      <c r="Q142" s="163">
        <f t="shared" si="2"/>
        <v>139880255</v>
      </c>
      <c r="R142" s="164">
        <v>0.0</v>
      </c>
      <c r="S142" s="164">
        <v>0.0</v>
      </c>
      <c r="T142" s="165">
        <f t="shared" si="3"/>
        <v>139880255</v>
      </c>
      <c r="U142" s="83" t="s">
        <v>64</v>
      </c>
      <c r="V142" s="83" t="s">
        <v>64</v>
      </c>
      <c r="W142" s="175"/>
      <c r="X142" s="176">
        <v>46161.0</v>
      </c>
      <c r="Y142" s="176">
        <v>46207.0</v>
      </c>
      <c r="Z142" s="177">
        <v>0.0</v>
      </c>
      <c r="AA142" s="177">
        <v>0.0</v>
      </c>
      <c r="AB142" s="176">
        <v>46207.0</v>
      </c>
      <c r="AC142" s="38">
        <f t="shared" si="4"/>
        <v>-80</v>
      </c>
      <c r="AD142" s="27"/>
      <c r="AE142" s="27">
        <v>100.0</v>
      </c>
      <c r="AF142" s="27"/>
      <c r="AH142" s="86">
        <f t="shared" si="33"/>
        <v>100</v>
      </c>
      <c r="AI142" s="178">
        <v>100.0</v>
      </c>
      <c r="AJ142" s="88">
        <f t="shared" si="26"/>
        <v>0</v>
      </c>
      <c r="AK142" s="162"/>
      <c r="AL142" s="162"/>
      <c r="AM142" s="162"/>
      <c r="AN142" s="162"/>
      <c r="AO142" s="162">
        <v>0.0</v>
      </c>
      <c r="AP142" s="178">
        <v>100.0</v>
      </c>
      <c r="AQ142" s="162">
        <v>0.0</v>
      </c>
      <c r="AR142" s="82">
        <f t="shared" si="36"/>
        <v>122487624</v>
      </c>
      <c r="AS142" s="82">
        <f>36746287+79616956</f>
        <v>116363243</v>
      </c>
      <c r="AT142" s="171">
        <f t="shared" si="34"/>
        <v>1</v>
      </c>
      <c r="AU142" s="171">
        <f t="shared" si="23"/>
        <v>0.9500000016</v>
      </c>
      <c r="AV142" s="23" t="s">
        <v>775</v>
      </c>
      <c r="AW142" s="74"/>
      <c r="AX142" s="75"/>
      <c r="AY142" s="74"/>
      <c r="AZ142" s="76"/>
      <c r="BA142" s="76"/>
      <c r="BB142" s="76"/>
      <c r="BC142" s="77"/>
      <c r="BD142" s="76"/>
      <c r="BE142" s="76"/>
      <c r="BF142" s="199"/>
      <c r="BG142" s="199"/>
      <c r="BH142" s="199"/>
    </row>
    <row r="143" ht="104.25" customHeight="1">
      <c r="A143" s="21">
        <v>142.0</v>
      </c>
      <c r="B143" s="22">
        <v>2025.0</v>
      </c>
      <c r="C143" s="23" t="s">
        <v>389</v>
      </c>
      <c r="D143" s="80" t="s">
        <v>74</v>
      </c>
      <c r="E143" s="23" t="s">
        <v>544</v>
      </c>
      <c r="F143" s="25" t="s">
        <v>776</v>
      </c>
      <c r="G143" s="23" t="s">
        <v>744</v>
      </c>
      <c r="H143" s="23" t="s">
        <v>777</v>
      </c>
      <c r="I143" s="23" t="s">
        <v>61</v>
      </c>
      <c r="J143" s="23" t="s">
        <v>778</v>
      </c>
      <c r="K143" s="23" t="s">
        <v>779</v>
      </c>
      <c r="L143" s="23">
        <v>1.5</v>
      </c>
      <c r="M143" s="173">
        <v>100.0</v>
      </c>
      <c r="N143" s="162">
        <v>0.0</v>
      </c>
      <c r="O143" s="82">
        <v>1.22412855E8</v>
      </c>
      <c r="P143" s="82">
        <v>1.9801473E7</v>
      </c>
      <c r="Q143" s="163">
        <f t="shared" si="2"/>
        <v>142214328</v>
      </c>
      <c r="R143" s="164">
        <v>0.0</v>
      </c>
      <c r="S143" s="164">
        <v>0.0</v>
      </c>
      <c r="T143" s="165">
        <f t="shared" si="3"/>
        <v>142214328</v>
      </c>
      <c r="U143" s="83" t="s">
        <v>64</v>
      </c>
      <c r="V143" s="83" t="s">
        <v>64</v>
      </c>
      <c r="W143" s="175"/>
      <c r="X143" s="176">
        <v>46091.0</v>
      </c>
      <c r="Y143" s="176">
        <v>46137.0</v>
      </c>
      <c r="Z143" s="177">
        <v>0.0</v>
      </c>
      <c r="AA143" s="177">
        <v>0.0</v>
      </c>
      <c r="AB143" s="176">
        <v>46137.0</v>
      </c>
      <c r="AC143" s="38">
        <f t="shared" si="4"/>
        <v>-150</v>
      </c>
      <c r="AD143" s="27"/>
      <c r="AE143" s="27">
        <v>100.0</v>
      </c>
      <c r="AF143" s="27"/>
      <c r="AH143" s="95">
        <f t="shared" si="33"/>
        <v>100</v>
      </c>
      <c r="AI143" s="178">
        <v>100.0</v>
      </c>
      <c r="AJ143" s="88">
        <f t="shared" si="26"/>
        <v>0</v>
      </c>
      <c r="AK143" s="162"/>
      <c r="AL143" s="162"/>
      <c r="AM143" s="162"/>
      <c r="AN143" s="162"/>
      <c r="AO143" s="162">
        <v>0.0</v>
      </c>
      <c r="AP143" s="87">
        <v>100.0</v>
      </c>
      <c r="AQ143" s="162">
        <v>0.0</v>
      </c>
      <c r="AR143" s="82">
        <f t="shared" si="36"/>
        <v>122412855</v>
      </c>
      <c r="AS143" s="82">
        <f>36723857+79568356+6120642</f>
        <v>122412855</v>
      </c>
      <c r="AT143" s="171">
        <f t="shared" si="34"/>
        <v>1</v>
      </c>
      <c r="AU143" s="171">
        <f t="shared" si="23"/>
        <v>1</v>
      </c>
      <c r="AV143" s="23" t="s">
        <v>780</v>
      </c>
      <c r="AW143" s="74"/>
      <c r="AX143" s="75"/>
      <c r="AY143" s="74"/>
      <c r="AZ143" s="76"/>
      <c r="BA143" s="76"/>
      <c r="BB143" s="76"/>
      <c r="BC143" s="222"/>
      <c r="BD143" s="76"/>
      <c r="BE143" s="76"/>
      <c r="BF143" s="199"/>
      <c r="BG143" s="199"/>
      <c r="BH143" s="199"/>
    </row>
    <row r="144" ht="104.25" customHeight="1">
      <c r="A144" s="21">
        <v>143.0</v>
      </c>
      <c r="B144" s="22">
        <v>2025.0</v>
      </c>
      <c r="C144" s="23" t="s">
        <v>389</v>
      </c>
      <c r="D144" s="80" t="s">
        <v>74</v>
      </c>
      <c r="E144" s="23" t="s">
        <v>544</v>
      </c>
      <c r="F144" s="25" t="s">
        <v>781</v>
      </c>
      <c r="G144" s="23" t="s">
        <v>744</v>
      </c>
      <c r="H144" s="23" t="s">
        <v>782</v>
      </c>
      <c r="I144" s="23" t="s">
        <v>61</v>
      </c>
      <c r="J144" s="23" t="s">
        <v>783</v>
      </c>
      <c r="K144" s="23" t="s">
        <v>784</v>
      </c>
      <c r="L144" s="23">
        <v>1.5</v>
      </c>
      <c r="M144" s="173">
        <v>100.0</v>
      </c>
      <c r="N144" s="162">
        <v>0.0</v>
      </c>
      <c r="O144" s="82">
        <v>1.22439826E8</v>
      </c>
      <c r="P144" s="82">
        <v>1.7713338E7</v>
      </c>
      <c r="Q144" s="163">
        <f t="shared" si="2"/>
        <v>140153164</v>
      </c>
      <c r="R144" s="164">
        <v>0.0</v>
      </c>
      <c r="S144" s="164">
        <v>0.0</v>
      </c>
      <c r="T144" s="165">
        <f t="shared" si="3"/>
        <v>140153164</v>
      </c>
      <c r="U144" s="83" t="s">
        <v>64</v>
      </c>
      <c r="V144" s="83" t="s">
        <v>64</v>
      </c>
      <c r="W144" s="175"/>
      <c r="X144" s="176">
        <v>46120.0</v>
      </c>
      <c r="Y144" s="176">
        <v>46165.0</v>
      </c>
      <c r="Z144" s="177">
        <v>0.0</v>
      </c>
      <c r="AA144" s="177">
        <v>0.0</v>
      </c>
      <c r="AB144" s="176">
        <v>46165.0</v>
      </c>
      <c r="AC144" s="38">
        <f t="shared" si="4"/>
        <v>-122</v>
      </c>
      <c r="AD144" s="27"/>
      <c r="AE144" s="27">
        <v>100.0</v>
      </c>
      <c r="AF144" s="27"/>
      <c r="AH144" s="95">
        <f t="shared" si="33"/>
        <v>100</v>
      </c>
      <c r="AI144" s="178">
        <v>100.0</v>
      </c>
      <c r="AJ144" s="88">
        <f t="shared" si="26"/>
        <v>0</v>
      </c>
      <c r="AK144" s="162"/>
      <c r="AL144" s="162"/>
      <c r="AM144" s="162"/>
      <c r="AN144" s="162"/>
      <c r="AO144" s="162">
        <v>0.0</v>
      </c>
      <c r="AP144" s="87">
        <v>100.0</v>
      </c>
      <c r="AQ144" s="162">
        <v>0.0</v>
      </c>
      <c r="AR144" s="82">
        <f t="shared" si="36"/>
        <v>122439826</v>
      </c>
      <c r="AS144" s="82">
        <v>3.6731948E7</v>
      </c>
      <c r="AT144" s="171">
        <f t="shared" si="34"/>
        <v>1</v>
      </c>
      <c r="AU144" s="265">
        <f t="shared" si="23"/>
        <v>0.3000000016</v>
      </c>
      <c r="AV144" s="23" t="s">
        <v>785</v>
      </c>
      <c r="AW144" s="74"/>
      <c r="AX144" s="75"/>
      <c r="AY144" s="74"/>
      <c r="AZ144" s="76"/>
      <c r="BA144" s="76"/>
      <c r="BB144" s="76"/>
      <c r="BC144" s="77"/>
      <c r="BD144" s="76"/>
      <c r="BE144" s="117"/>
      <c r="BF144" s="199"/>
      <c r="BG144" s="199"/>
      <c r="BH144" s="199"/>
    </row>
    <row r="145" ht="104.25" customHeight="1">
      <c r="A145" s="50">
        <v>144.0</v>
      </c>
      <c r="B145" s="51">
        <v>2025.0</v>
      </c>
      <c r="C145" s="184" t="s">
        <v>786</v>
      </c>
      <c r="D145" s="52" t="s">
        <v>787</v>
      </c>
      <c r="E145" s="184" t="s">
        <v>59</v>
      </c>
      <c r="F145" s="53">
        <v>4.600018673E9</v>
      </c>
      <c r="G145" s="184" t="s">
        <v>552</v>
      </c>
      <c r="H145" s="184" t="str">
        <f t="shared" ref="H145:H146" si="37">G145</f>
        <v>JARDÍN</v>
      </c>
      <c r="I145" s="184" t="s">
        <v>78</v>
      </c>
      <c r="J145" s="184" t="s">
        <v>788</v>
      </c>
      <c r="K145" s="184"/>
      <c r="L145" s="184">
        <v>1.0</v>
      </c>
      <c r="M145" s="100">
        <v>0.0</v>
      </c>
      <c r="N145" s="187">
        <v>0.0</v>
      </c>
      <c r="O145" s="113">
        <v>2.120935022E9</v>
      </c>
      <c r="P145" s="113">
        <v>0.0</v>
      </c>
      <c r="Q145" s="188">
        <f t="shared" si="2"/>
        <v>2120935022</v>
      </c>
      <c r="R145" s="189">
        <v>0.0</v>
      </c>
      <c r="S145" s="189">
        <v>0.0</v>
      </c>
      <c r="T145" s="190">
        <f t="shared" si="3"/>
        <v>2120935022</v>
      </c>
      <c r="U145" s="221" t="s">
        <v>387</v>
      </c>
      <c r="V145" s="221" t="s">
        <v>387</v>
      </c>
      <c r="W145" s="192"/>
      <c r="X145" s="193">
        <v>46002.0</v>
      </c>
      <c r="Y145" s="193">
        <v>46387.0</v>
      </c>
      <c r="Z145" s="194">
        <v>0.0</v>
      </c>
      <c r="AA145" s="194">
        <v>0.0</v>
      </c>
      <c r="AB145" s="193">
        <v>46387.0</v>
      </c>
      <c r="AC145" s="66">
        <f t="shared" si="4"/>
        <v>100</v>
      </c>
      <c r="AD145" s="55"/>
      <c r="AE145" s="55"/>
      <c r="AF145" s="55"/>
      <c r="AH145" s="95">
        <f t="shared" si="33"/>
        <v>0</v>
      </c>
      <c r="AI145" s="223">
        <v>0.0</v>
      </c>
      <c r="AJ145" s="187"/>
      <c r="AK145" s="187"/>
      <c r="AL145" s="187"/>
      <c r="AM145" s="187"/>
      <c r="AN145" s="187"/>
      <c r="AO145" s="187">
        <v>0.0</v>
      </c>
      <c r="AP145" s="178">
        <v>0.0</v>
      </c>
      <c r="AQ145" s="187">
        <v>0.0</v>
      </c>
      <c r="AR145" s="113">
        <f t="shared" si="36"/>
        <v>2120935022</v>
      </c>
      <c r="AS145" s="113">
        <v>3.7639052E7</v>
      </c>
      <c r="AT145" s="208">
        <v>0.0</v>
      </c>
      <c r="AU145" s="198">
        <f t="shared" si="23"/>
        <v>0.01774644278</v>
      </c>
      <c r="AV145" s="184" t="s">
        <v>789</v>
      </c>
      <c r="AW145" s="74"/>
      <c r="AX145" s="75"/>
      <c r="AY145" s="74"/>
      <c r="AZ145" s="76"/>
      <c r="BA145" s="76"/>
      <c r="BB145" s="76"/>
      <c r="BC145" s="77"/>
      <c r="BD145" s="76"/>
      <c r="BE145" s="117"/>
      <c r="BF145" s="199"/>
      <c r="BG145" s="199"/>
      <c r="BH145" s="199"/>
    </row>
    <row r="146" ht="104.25" customHeight="1">
      <c r="A146" s="50">
        <v>145.0</v>
      </c>
      <c r="B146" s="51">
        <v>2025.0</v>
      </c>
      <c r="C146" s="184" t="s">
        <v>786</v>
      </c>
      <c r="D146" s="52" t="s">
        <v>787</v>
      </c>
      <c r="E146" s="184" t="s">
        <v>59</v>
      </c>
      <c r="F146" s="53">
        <v>4.600018673E9</v>
      </c>
      <c r="G146" s="184" t="s">
        <v>483</v>
      </c>
      <c r="H146" s="184" t="str">
        <f t="shared" si="37"/>
        <v>JERICO</v>
      </c>
      <c r="I146" s="184" t="s">
        <v>78</v>
      </c>
      <c r="J146" s="184" t="s">
        <v>788</v>
      </c>
      <c r="K146" s="184"/>
      <c r="L146" s="184">
        <v>1.0</v>
      </c>
      <c r="M146" s="100">
        <v>100.0</v>
      </c>
      <c r="N146" s="187">
        <v>0.0</v>
      </c>
      <c r="O146" s="113">
        <v>0.0</v>
      </c>
      <c r="P146" s="113">
        <v>0.0</v>
      </c>
      <c r="Q146" s="188">
        <f t="shared" si="2"/>
        <v>0</v>
      </c>
      <c r="R146" s="189">
        <v>0.0</v>
      </c>
      <c r="S146" s="189">
        <v>0.0</v>
      </c>
      <c r="T146" s="190">
        <f t="shared" si="3"/>
        <v>0</v>
      </c>
      <c r="U146" s="221" t="s">
        <v>387</v>
      </c>
      <c r="V146" s="221" t="s">
        <v>387</v>
      </c>
      <c r="W146" s="192"/>
      <c r="X146" s="193">
        <v>46002.0</v>
      </c>
      <c r="Y146" s="193">
        <v>46387.0</v>
      </c>
      <c r="Z146" s="194">
        <v>0.0</v>
      </c>
      <c r="AA146" s="194">
        <v>0.0</v>
      </c>
      <c r="AB146" s="193">
        <v>46387.0</v>
      </c>
      <c r="AC146" s="66">
        <f t="shared" si="4"/>
        <v>100</v>
      </c>
      <c r="AD146" s="55"/>
      <c r="AE146" s="55"/>
      <c r="AF146" s="55"/>
      <c r="AH146" s="95">
        <f t="shared" si="33"/>
        <v>0</v>
      </c>
      <c r="AI146" s="223">
        <v>0.0</v>
      </c>
      <c r="AJ146" s="187"/>
      <c r="AK146" s="187"/>
      <c r="AL146" s="187"/>
      <c r="AM146" s="187"/>
      <c r="AN146" s="187"/>
      <c r="AO146" s="187">
        <v>0.0</v>
      </c>
      <c r="AP146" s="178">
        <v>0.0</v>
      </c>
      <c r="AQ146" s="187">
        <v>0.0</v>
      </c>
      <c r="AR146" s="113">
        <f t="shared" si="36"/>
        <v>0</v>
      </c>
      <c r="AS146" s="113">
        <v>3.7639052E7</v>
      </c>
      <c r="AT146" s="198">
        <f>AP146/M146</f>
        <v>0</v>
      </c>
      <c r="AU146" s="198" t="str">
        <f t="shared" si="23"/>
        <v>#DIV/0!</v>
      </c>
      <c r="AV146" s="184" t="s">
        <v>789</v>
      </c>
      <c r="AW146" s="74"/>
      <c r="AX146" s="75"/>
      <c r="AY146" s="74"/>
      <c r="AZ146" s="76"/>
      <c r="BA146" s="76"/>
      <c r="BB146" s="76"/>
      <c r="BC146" s="77"/>
      <c r="BD146" s="76"/>
      <c r="BE146" s="117"/>
      <c r="BF146" s="199"/>
      <c r="BG146" s="199"/>
      <c r="BH146" s="199"/>
    </row>
    <row r="147" ht="104.25" customHeight="1">
      <c r="A147" s="21">
        <v>146.0</v>
      </c>
      <c r="B147" s="22">
        <v>2025.0</v>
      </c>
      <c r="C147" s="23" t="s">
        <v>482</v>
      </c>
      <c r="D147" s="24" t="s">
        <v>324</v>
      </c>
      <c r="E147" s="23" t="s">
        <v>59</v>
      </c>
      <c r="F147" s="25">
        <v>4.600018392E9</v>
      </c>
      <c r="G147" s="172" t="s">
        <v>269</v>
      </c>
      <c r="H147" s="23" t="s">
        <v>269</v>
      </c>
      <c r="I147" s="23" t="s">
        <v>120</v>
      </c>
      <c r="J147" s="23" t="s">
        <v>790</v>
      </c>
      <c r="K147" s="23" t="s">
        <v>791</v>
      </c>
      <c r="L147" s="23">
        <v>4.0</v>
      </c>
      <c r="M147" s="173">
        <v>0.0</v>
      </c>
      <c r="N147" s="166">
        <v>435.28</v>
      </c>
      <c r="O147" s="82">
        <v>1.0E8</v>
      </c>
      <c r="P147" s="82">
        <v>8.9999335E7</v>
      </c>
      <c r="Q147" s="163">
        <f t="shared" si="2"/>
        <v>189999335</v>
      </c>
      <c r="R147" s="164">
        <v>0.0</v>
      </c>
      <c r="S147" s="164">
        <v>0.0</v>
      </c>
      <c r="T147" s="165">
        <f t="shared" si="3"/>
        <v>189999335</v>
      </c>
      <c r="U147" s="83" t="s">
        <v>64</v>
      </c>
      <c r="V147" s="83" t="s">
        <v>64</v>
      </c>
      <c r="W147" s="175"/>
      <c r="X147" s="176">
        <v>45953.0</v>
      </c>
      <c r="Y147" s="176">
        <v>46076.0</v>
      </c>
      <c r="Z147" s="177">
        <v>0.0</v>
      </c>
      <c r="AA147" s="177">
        <v>0.0</v>
      </c>
      <c r="AB147" s="176">
        <v>46076.0</v>
      </c>
      <c r="AC147" s="38">
        <f t="shared" si="4"/>
        <v>-211</v>
      </c>
      <c r="AD147" s="27"/>
      <c r="AE147" s="27"/>
      <c r="AF147" s="27"/>
      <c r="AH147" s="39" t="str">
        <f t="shared" ref="AH147:AH148" si="38">AD147+#REF!+AE147+AF147</f>
        <v>#REF!</v>
      </c>
      <c r="AI147" s="223">
        <v>0.0</v>
      </c>
      <c r="AJ147" s="166"/>
      <c r="AK147" s="166"/>
      <c r="AL147" s="166"/>
      <c r="AM147" s="166"/>
      <c r="AN147" s="166"/>
      <c r="AO147" s="166">
        <v>435.28</v>
      </c>
      <c r="AP147" s="178">
        <v>0.0</v>
      </c>
      <c r="AQ147" s="166">
        <v>435.28</v>
      </c>
      <c r="AR147" s="82">
        <f t="shared" si="36"/>
        <v>100000000</v>
      </c>
      <c r="AS147" s="82">
        <v>1.0E8</v>
      </c>
      <c r="AT147" s="228">
        <f>N147/AQ147</f>
        <v>1</v>
      </c>
      <c r="AU147" s="228">
        <f t="shared" si="23"/>
        <v>1</v>
      </c>
      <c r="AV147" s="23" t="s">
        <v>792</v>
      </c>
      <c r="AW147" s="91"/>
      <c r="AX147" s="43"/>
      <c r="AY147" s="91"/>
      <c r="AZ147" s="92"/>
      <c r="BA147" s="92"/>
      <c r="BB147" s="92"/>
      <c r="BC147" s="46"/>
      <c r="BD147" s="92"/>
      <c r="BE147" s="47"/>
      <c r="BF147" s="99"/>
      <c r="BG147" s="99"/>
      <c r="BH147" s="99"/>
    </row>
    <row r="148" ht="104.25" customHeight="1">
      <c r="A148" s="50">
        <v>147.0</v>
      </c>
      <c r="B148" s="51">
        <v>2025.0</v>
      </c>
      <c r="C148" s="184" t="s">
        <v>550</v>
      </c>
      <c r="D148" s="52" t="s">
        <v>118</v>
      </c>
      <c r="E148" s="184" t="s">
        <v>59</v>
      </c>
      <c r="F148" s="53">
        <v>4.600018768E9</v>
      </c>
      <c r="G148" s="184" t="s">
        <v>179</v>
      </c>
      <c r="H148" s="184" t="str">
        <f>G148</f>
        <v>CIUDAD BOLIVAR</v>
      </c>
      <c r="I148" s="184" t="s">
        <v>78</v>
      </c>
      <c r="J148" s="184" t="s">
        <v>793</v>
      </c>
      <c r="K148" s="184" t="s">
        <v>794</v>
      </c>
      <c r="L148" s="184">
        <v>1.5</v>
      </c>
      <c r="M148" s="100">
        <v>488.0</v>
      </c>
      <c r="N148" s="187">
        <v>0.0</v>
      </c>
      <c r="O148" s="113">
        <v>1.0E8</v>
      </c>
      <c r="P148" s="113">
        <v>1.5E7</v>
      </c>
      <c r="Q148" s="188">
        <f t="shared" si="2"/>
        <v>115000000</v>
      </c>
      <c r="R148" s="189">
        <v>0.0</v>
      </c>
      <c r="S148" s="189">
        <v>0.0</v>
      </c>
      <c r="T148" s="190">
        <f t="shared" si="3"/>
        <v>115000000</v>
      </c>
      <c r="U148" s="221" t="s">
        <v>64</v>
      </c>
      <c r="V148" s="221" t="s">
        <v>64</v>
      </c>
      <c r="W148" s="192"/>
      <c r="X148" s="193">
        <v>46007.0</v>
      </c>
      <c r="Y148" s="193">
        <v>46053.0</v>
      </c>
      <c r="Z148" s="194">
        <v>0.0</v>
      </c>
      <c r="AA148" s="194">
        <v>0.0</v>
      </c>
      <c r="AB148" s="193">
        <v>46053.0</v>
      </c>
      <c r="AC148" s="66">
        <f t="shared" si="4"/>
        <v>-234</v>
      </c>
      <c r="AD148" s="55"/>
      <c r="AE148" s="55"/>
      <c r="AF148" s="55"/>
      <c r="AH148" s="39" t="str">
        <f t="shared" si="38"/>
        <v>#REF!</v>
      </c>
      <c r="AI148" s="100">
        <v>488.0</v>
      </c>
      <c r="AJ148" s="280"/>
      <c r="AK148" s="280"/>
      <c r="AL148" s="280"/>
      <c r="AM148" s="280"/>
      <c r="AN148" s="280"/>
      <c r="AO148" s="280">
        <v>0.0</v>
      </c>
      <c r="AP148" s="178">
        <v>488.0</v>
      </c>
      <c r="AQ148" s="280">
        <v>0.0</v>
      </c>
      <c r="AR148" s="113">
        <f t="shared" si="36"/>
        <v>100000000</v>
      </c>
      <c r="AS148" s="113">
        <v>1.0E8</v>
      </c>
      <c r="AT148" s="224">
        <f t="shared" ref="AT148:AT149" si="39">AP148/M148</f>
        <v>1</v>
      </c>
      <c r="AU148" s="224">
        <f t="shared" si="23"/>
        <v>1</v>
      </c>
      <c r="AV148" s="184" t="s">
        <v>795</v>
      </c>
      <c r="AW148" s="74"/>
      <c r="AX148" s="75"/>
      <c r="AY148" s="74"/>
      <c r="AZ148" s="76"/>
      <c r="BA148" s="76"/>
      <c r="BB148" s="76"/>
      <c r="BC148" s="77"/>
      <c r="BD148" s="76"/>
      <c r="BE148" s="117"/>
      <c r="BF148" s="199"/>
      <c r="BG148" s="199"/>
      <c r="BH148" s="199"/>
    </row>
    <row r="149" ht="102.0" customHeight="1">
      <c r="A149" s="50">
        <v>148.0</v>
      </c>
      <c r="B149" s="51">
        <v>2025.0</v>
      </c>
      <c r="C149" s="52" t="s">
        <v>318</v>
      </c>
      <c r="D149" s="185" t="s">
        <v>74</v>
      </c>
      <c r="E149" s="186" t="s">
        <v>75</v>
      </c>
      <c r="F149" s="53" t="s">
        <v>796</v>
      </c>
      <c r="G149" s="184" t="s">
        <v>320</v>
      </c>
      <c r="H149" s="184" t="s">
        <v>320</v>
      </c>
      <c r="I149" s="184" t="s">
        <v>120</v>
      </c>
      <c r="J149" s="184" t="s">
        <v>321</v>
      </c>
      <c r="K149" s="184" t="s">
        <v>797</v>
      </c>
      <c r="L149" s="184">
        <v>4.0</v>
      </c>
      <c r="M149" s="100">
        <v>1000.0</v>
      </c>
      <c r="N149" s="187">
        <v>0.0</v>
      </c>
      <c r="O149" s="113">
        <v>3.49719431E8</v>
      </c>
      <c r="P149" s="113">
        <v>7.454E8</v>
      </c>
      <c r="Q149" s="188">
        <f t="shared" si="2"/>
        <v>1095119431</v>
      </c>
      <c r="R149" s="189">
        <v>0.0</v>
      </c>
      <c r="S149" s="189">
        <v>0.0</v>
      </c>
      <c r="T149" s="190">
        <f t="shared" si="3"/>
        <v>1095119431</v>
      </c>
      <c r="U149" s="191" t="s">
        <v>64</v>
      </c>
      <c r="V149" s="191" t="s">
        <v>64</v>
      </c>
      <c r="W149" s="192"/>
      <c r="X149" s="193">
        <v>45742.0</v>
      </c>
      <c r="Y149" s="193">
        <v>45987.0</v>
      </c>
      <c r="Z149" s="194">
        <v>0.0</v>
      </c>
      <c r="AA149" s="195">
        <v>0.0</v>
      </c>
      <c r="AB149" s="193">
        <v>45987.0</v>
      </c>
      <c r="AC149" s="66">
        <f t="shared" si="4"/>
        <v>-300</v>
      </c>
      <c r="AD149" s="55"/>
      <c r="AE149" s="281">
        <v>600.0</v>
      </c>
      <c r="AF149" s="281">
        <v>200.0</v>
      </c>
      <c r="AH149" s="95">
        <f t="shared" ref="AH149:AH360" si="40">AD149+AE149+AF149+AG149</f>
        <v>800</v>
      </c>
      <c r="AI149" s="282">
        <v>800.0</v>
      </c>
      <c r="AJ149" s="88">
        <f t="shared" ref="AJ149:AJ152" si="41">AH149-AI149</f>
        <v>0</v>
      </c>
      <c r="AK149" s="187"/>
      <c r="AL149" s="187"/>
      <c r="AM149" s="187"/>
      <c r="AN149" s="187"/>
      <c r="AO149" s="187">
        <v>0.0</v>
      </c>
      <c r="AP149" s="178">
        <v>800.0</v>
      </c>
      <c r="AQ149" s="187">
        <v>0.0</v>
      </c>
      <c r="AR149" s="113">
        <v>3.49719431E8</v>
      </c>
      <c r="AS149" s="113">
        <v>3.37076789E8</v>
      </c>
      <c r="AT149" s="198">
        <f t="shared" si="39"/>
        <v>0.8</v>
      </c>
      <c r="AU149" s="198">
        <f t="shared" si="23"/>
        <v>0.9638491863</v>
      </c>
      <c r="AV149" s="140" t="s">
        <v>798</v>
      </c>
      <c r="AW149" s="74"/>
      <c r="AX149" s="75"/>
      <c r="AY149" s="74"/>
      <c r="AZ149" s="76"/>
      <c r="BA149" s="76"/>
      <c r="BB149" s="76"/>
      <c r="BC149" s="283"/>
      <c r="BD149" s="76"/>
      <c r="BE149" s="76"/>
      <c r="BF149" s="199"/>
      <c r="BG149" s="199"/>
      <c r="BH149" s="199"/>
    </row>
    <row r="150" ht="104.25" customHeight="1">
      <c r="A150" s="21">
        <v>149.0</v>
      </c>
      <c r="B150" s="22">
        <v>2025.0</v>
      </c>
      <c r="C150" s="23" t="s">
        <v>90</v>
      </c>
      <c r="D150" s="24" t="s">
        <v>74</v>
      </c>
      <c r="E150" s="23" t="s">
        <v>59</v>
      </c>
      <c r="F150" s="25">
        <v>4.600017881E9</v>
      </c>
      <c r="G150" s="23" t="s">
        <v>799</v>
      </c>
      <c r="H150" s="23" t="str">
        <f t="shared" ref="H150:H161" si="42">G150</f>
        <v>LA PINTADA</v>
      </c>
      <c r="I150" s="23" t="s">
        <v>78</v>
      </c>
      <c r="J150" s="23" t="s">
        <v>800</v>
      </c>
      <c r="K150" s="23" t="s">
        <v>801</v>
      </c>
      <c r="L150" s="23">
        <v>6.7</v>
      </c>
      <c r="M150" s="173">
        <v>370.0</v>
      </c>
      <c r="N150" s="162">
        <v>0.0</v>
      </c>
      <c r="O150" s="82">
        <v>1.296778254E9</v>
      </c>
      <c r="P150" s="82">
        <v>3.24194564E8</v>
      </c>
      <c r="Q150" s="163">
        <f t="shared" si="2"/>
        <v>1620972818</v>
      </c>
      <c r="R150" s="164">
        <v>0.0</v>
      </c>
      <c r="S150" s="164">
        <v>0.0</v>
      </c>
      <c r="T150" s="165">
        <f t="shared" si="3"/>
        <v>1620972818</v>
      </c>
      <c r="U150" s="83" t="s">
        <v>64</v>
      </c>
      <c r="V150" s="83" t="s">
        <v>387</v>
      </c>
      <c r="W150" s="175"/>
      <c r="X150" s="176">
        <v>45769.0</v>
      </c>
      <c r="Y150" s="176">
        <v>45952.0</v>
      </c>
      <c r="Z150" s="177">
        <v>7.0</v>
      </c>
      <c r="AA150" s="177">
        <v>0.0</v>
      </c>
      <c r="AB150" s="176">
        <v>46172.0</v>
      </c>
      <c r="AC150" s="38">
        <f t="shared" si="4"/>
        <v>-115</v>
      </c>
      <c r="AD150" s="27"/>
      <c r="AE150" s="284"/>
      <c r="AF150" s="284">
        <v>352.0</v>
      </c>
      <c r="AH150" s="95">
        <f t="shared" si="40"/>
        <v>352</v>
      </c>
      <c r="AI150" s="285">
        <v>352.0</v>
      </c>
      <c r="AJ150" s="88">
        <f t="shared" si="41"/>
        <v>0</v>
      </c>
      <c r="AK150" s="286"/>
      <c r="AL150" s="211"/>
      <c r="AM150" s="211"/>
      <c r="AN150" s="211"/>
      <c r="AO150" s="211">
        <v>0.0</v>
      </c>
      <c r="AP150" s="87">
        <v>352.0</v>
      </c>
      <c r="AQ150" s="211">
        <v>0.0</v>
      </c>
      <c r="AR150" s="82">
        <v>1.296778254E9</v>
      </c>
      <c r="AS150" s="82">
        <v>9.82793785E8</v>
      </c>
      <c r="AT150" s="239">
        <v>1.0</v>
      </c>
      <c r="AU150" s="238">
        <f t="shared" si="23"/>
        <v>0.7578734313</v>
      </c>
      <c r="AV150" s="253" t="s">
        <v>802</v>
      </c>
      <c r="AW150" s="91"/>
      <c r="AX150" s="43"/>
      <c r="AY150" s="91"/>
      <c r="AZ150" s="92"/>
      <c r="BA150" s="92"/>
      <c r="BB150" s="92"/>
      <c r="BC150" s="46"/>
      <c r="BD150" s="92"/>
      <c r="BE150" s="47"/>
      <c r="BF150" s="99"/>
      <c r="BG150" s="99"/>
      <c r="BH150" s="99"/>
    </row>
    <row r="151" ht="171.75" customHeight="1">
      <c r="A151" s="141">
        <v>150.0</v>
      </c>
      <c r="B151" s="136">
        <v>2022.0</v>
      </c>
      <c r="C151" s="240" t="s">
        <v>171</v>
      </c>
      <c r="D151" s="111" t="s">
        <v>74</v>
      </c>
      <c r="E151" s="240" t="s">
        <v>75</v>
      </c>
      <c r="F151" s="143" t="s">
        <v>803</v>
      </c>
      <c r="G151" s="240" t="s">
        <v>263</v>
      </c>
      <c r="H151" s="240" t="str">
        <f t="shared" si="42"/>
        <v>SALGAR</v>
      </c>
      <c r="I151" s="240" t="s">
        <v>120</v>
      </c>
      <c r="J151" s="240" t="s">
        <v>804</v>
      </c>
      <c r="K151" s="240" t="s">
        <v>805</v>
      </c>
      <c r="L151" s="240">
        <v>7.0</v>
      </c>
      <c r="M151" s="227">
        <v>1700.0</v>
      </c>
      <c r="N151" s="259">
        <v>0.0</v>
      </c>
      <c r="O151" s="144">
        <v>4.91909778E8</v>
      </c>
      <c r="P151" s="144">
        <v>0.0</v>
      </c>
      <c r="Q151" s="287">
        <f t="shared" si="2"/>
        <v>491909778</v>
      </c>
      <c r="R151" s="288">
        <v>0.0</v>
      </c>
      <c r="S151" s="288">
        <v>0.0</v>
      </c>
      <c r="T151" s="289">
        <f t="shared" si="3"/>
        <v>491909778</v>
      </c>
      <c r="U151" s="290" t="s">
        <v>220</v>
      </c>
      <c r="V151" s="290" t="s">
        <v>220</v>
      </c>
      <c r="W151" s="291"/>
      <c r="X151" s="292">
        <v>44929.0</v>
      </c>
      <c r="Y151" s="292">
        <v>45263.0</v>
      </c>
      <c r="Z151" s="293">
        <v>0.0</v>
      </c>
      <c r="AA151" s="293">
        <v>0.0</v>
      </c>
      <c r="AB151" s="292">
        <v>45292.0</v>
      </c>
      <c r="AC151" s="152">
        <f t="shared" si="4"/>
        <v>-995</v>
      </c>
      <c r="AD151" s="81">
        <v>0.0</v>
      </c>
      <c r="AE151" s="81"/>
      <c r="AF151" s="81">
        <v>85.0</v>
      </c>
      <c r="AG151" s="81"/>
      <c r="AH151" s="95">
        <f t="shared" si="40"/>
        <v>85</v>
      </c>
      <c r="AI151" s="197">
        <v>85.0</v>
      </c>
      <c r="AJ151" s="88">
        <f t="shared" si="41"/>
        <v>0</v>
      </c>
      <c r="AK151" s="294"/>
      <c r="AL151" s="294"/>
      <c r="AM151" s="294"/>
      <c r="AN151" s="294"/>
      <c r="AO151" s="294">
        <v>0.0</v>
      </c>
      <c r="AP151" s="87">
        <v>1700.0</v>
      </c>
      <c r="AQ151" s="294">
        <v>0.0</v>
      </c>
      <c r="AR151" s="144">
        <f t="shared" ref="AR151:AR154" si="43">O151</f>
        <v>491909778</v>
      </c>
      <c r="AS151" s="144">
        <v>4.9152484E8</v>
      </c>
      <c r="AT151" s="238">
        <f t="shared" ref="AT151:AT152" si="44">AP151/M151</f>
        <v>1</v>
      </c>
      <c r="AU151" s="238">
        <f t="shared" si="23"/>
        <v>0.9992174622</v>
      </c>
      <c r="AV151" s="240" t="s">
        <v>806</v>
      </c>
      <c r="AW151" s="154"/>
      <c r="AX151" s="295">
        <v>46171.0</v>
      </c>
      <c r="AY151" s="296" t="s">
        <v>273</v>
      </c>
      <c r="AZ151" s="297" t="s">
        <v>807</v>
      </c>
      <c r="BA151" s="297" t="s">
        <v>68</v>
      </c>
      <c r="BB151" s="298" t="s">
        <v>68</v>
      </c>
      <c r="BC151" s="299"/>
      <c r="BD151" s="297" t="s">
        <v>274</v>
      </c>
      <c r="BE151" s="300">
        <v>46171.0</v>
      </c>
      <c r="BF151" s="158"/>
      <c r="BG151" s="158"/>
      <c r="BH151" s="158"/>
    </row>
    <row r="152" ht="104.25" customHeight="1">
      <c r="A152" s="301">
        <v>151.0</v>
      </c>
      <c r="B152" s="40">
        <v>2023.0</v>
      </c>
      <c r="C152" s="204" t="s">
        <v>389</v>
      </c>
      <c r="D152" s="302" t="s">
        <v>74</v>
      </c>
      <c r="E152" s="204" t="s">
        <v>75</v>
      </c>
      <c r="F152" s="303" t="s">
        <v>808</v>
      </c>
      <c r="G152" s="204" t="s">
        <v>391</v>
      </c>
      <c r="H152" s="204" t="str">
        <f t="shared" si="42"/>
        <v>ANDES</v>
      </c>
      <c r="I152" s="204" t="s">
        <v>78</v>
      </c>
      <c r="J152" s="204" t="s">
        <v>809</v>
      </c>
      <c r="K152" s="204" t="s">
        <v>810</v>
      </c>
      <c r="L152" s="204">
        <v>5.0</v>
      </c>
      <c r="M152" s="178">
        <v>1700.0</v>
      </c>
      <c r="N152" s="304">
        <v>0.0</v>
      </c>
      <c r="O152" s="305">
        <v>5.46980541E8</v>
      </c>
      <c r="P152" s="305">
        <v>0.0</v>
      </c>
      <c r="Q152" s="306">
        <f t="shared" si="2"/>
        <v>546980541</v>
      </c>
      <c r="R152" s="307">
        <v>0.0</v>
      </c>
      <c r="S152" s="307">
        <v>0.0</v>
      </c>
      <c r="T152" s="308">
        <f t="shared" si="3"/>
        <v>546980541</v>
      </c>
      <c r="U152" s="309" t="s">
        <v>220</v>
      </c>
      <c r="V152" s="309" t="s">
        <v>220</v>
      </c>
      <c r="W152" s="310"/>
      <c r="X152" s="311">
        <v>45121.0</v>
      </c>
      <c r="Y152" s="311">
        <v>45274.0</v>
      </c>
      <c r="Z152" s="312">
        <v>3.0</v>
      </c>
      <c r="AA152" s="312">
        <v>0.0</v>
      </c>
      <c r="AB152" s="311">
        <v>45365.0</v>
      </c>
      <c r="AC152" s="313">
        <f t="shared" si="4"/>
        <v>-922</v>
      </c>
      <c r="AD152" s="87">
        <v>578.0</v>
      </c>
      <c r="AE152" s="87"/>
      <c r="AF152" s="87"/>
      <c r="AG152" s="87"/>
      <c r="AH152" s="95">
        <f t="shared" si="40"/>
        <v>578</v>
      </c>
      <c r="AI152" s="178">
        <v>578.0</v>
      </c>
      <c r="AJ152" s="88">
        <f t="shared" si="41"/>
        <v>0</v>
      </c>
      <c r="AK152" s="207"/>
      <c r="AL152" s="207"/>
      <c r="AM152" s="207"/>
      <c r="AN152" s="207"/>
      <c r="AO152" s="207">
        <v>0.0</v>
      </c>
      <c r="AP152" s="87">
        <v>1700.0</v>
      </c>
      <c r="AQ152" s="207">
        <v>0.0</v>
      </c>
      <c r="AR152" s="305">
        <f t="shared" si="43"/>
        <v>546980541</v>
      </c>
      <c r="AS152" s="305">
        <f t="shared" ref="AS152:AS154" si="45">AR152</f>
        <v>546980541</v>
      </c>
      <c r="AT152" s="314">
        <f t="shared" si="44"/>
        <v>1</v>
      </c>
      <c r="AU152" s="314">
        <f t="shared" si="23"/>
        <v>1</v>
      </c>
      <c r="AV152" s="204" t="s">
        <v>811</v>
      </c>
      <c r="AW152" s="315"/>
      <c r="AX152" s="316">
        <v>46056.0</v>
      </c>
      <c r="AY152" s="317" t="s">
        <v>273</v>
      </c>
      <c r="AZ152" s="318" t="s">
        <v>807</v>
      </c>
      <c r="BA152" s="318" t="s">
        <v>68</v>
      </c>
      <c r="BB152" s="319" t="s">
        <v>68</v>
      </c>
      <c r="BC152" s="320"/>
      <c r="BD152" s="318" t="s">
        <v>67</v>
      </c>
      <c r="BE152" s="321"/>
      <c r="BF152" s="322"/>
      <c r="BG152" s="322"/>
      <c r="BH152" s="322"/>
    </row>
    <row r="153" ht="104.25" customHeight="1">
      <c r="A153" s="50">
        <v>152.0</v>
      </c>
      <c r="B153" s="22">
        <v>2021.0</v>
      </c>
      <c r="C153" s="23" t="s">
        <v>812</v>
      </c>
      <c r="D153" s="24" t="s">
        <v>324</v>
      </c>
      <c r="E153" s="184" t="s">
        <v>59</v>
      </c>
      <c r="F153" s="53">
        <v>4.600013033E9</v>
      </c>
      <c r="G153" s="184" t="s">
        <v>314</v>
      </c>
      <c r="H153" s="184" t="str">
        <f t="shared" si="42"/>
        <v>SAN VICENTE DE FERRER</v>
      </c>
      <c r="I153" s="184" t="s">
        <v>120</v>
      </c>
      <c r="J153" s="184" t="s">
        <v>813</v>
      </c>
      <c r="K153" s="184" t="s">
        <v>814</v>
      </c>
      <c r="L153" s="184">
        <v>11.0</v>
      </c>
      <c r="M153" s="100">
        <v>0.0</v>
      </c>
      <c r="N153" s="100">
        <v>2030.0</v>
      </c>
      <c r="O153" s="113">
        <v>3.52179569E8</v>
      </c>
      <c r="P153" s="113">
        <v>3.94298771E8</v>
      </c>
      <c r="Q153" s="188">
        <f t="shared" si="2"/>
        <v>746478340</v>
      </c>
      <c r="R153" s="189">
        <v>0.0</v>
      </c>
      <c r="S153" s="189">
        <v>0.0</v>
      </c>
      <c r="T153" s="190">
        <f t="shared" si="3"/>
        <v>746478340</v>
      </c>
      <c r="U153" s="221" t="s">
        <v>64</v>
      </c>
      <c r="V153" s="221" t="s">
        <v>64</v>
      </c>
      <c r="W153" s="323"/>
      <c r="X153" s="193">
        <v>44532.0</v>
      </c>
      <c r="Y153" s="193">
        <v>44867.0</v>
      </c>
      <c r="Z153" s="194">
        <v>16.0</v>
      </c>
      <c r="AA153" s="194">
        <v>6.4</v>
      </c>
      <c r="AB153" s="193">
        <v>45517.0</v>
      </c>
      <c r="AC153" s="66">
        <f t="shared" si="4"/>
        <v>-770</v>
      </c>
      <c r="AD153" s="55"/>
      <c r="AE153" s="55"/>
      <c r="AF153" s="55"/>
      <c r="AG153" s="55"/>
      <c r="AH153" s="86">
        <f t="shared" si="40"/>
        <v>0</v>
      </c>
      <c r="AI153" s="223">
        <v>0.0</v>
      </c>
      <c r="AJ153" s="324"/>
      <c r="AK153" s="324"/>
      <c r="AL153" s="324"/>
      <c r="AM153" s="324"/>
      <c r="AN153" s="324"/>
      <c r="AO153" s="324">
        <v>446.6</v>
      </c>
      <c r="AP153" s="178">
        <v>0.0</v>
      </c>
      <c r="AQ153" s="325">
        <v>2030.0</v>
      </c>
      <c r="AR153" s="113">
        <f t="shared" si="43"/>
        <v>352179569</v>
      </c>
      <c r="AS153" s="113">
        <f t="shared" si="45"/>
        <v>352179569</v>
      </c>
      <c r="AT153" s="224">
        <f t="shared" ref="AT153:AT154" si="46">AQ153/N153</f>
        <v>1</v>
      </c>
      <c r="AU153" s="224">
        <f t="shared" si="23"/>
        <v>1</v>
      </c>
      <c r="AV153" s="184" t="s">
        <v>815</v>
      </c>
      <c r="AW153" s="74"/>
      <c r="AX153" s="214"/>
      <c r="AY153" s="74"/>
      <c r="AZ153" s="76"/>
      <c r="BA153" s="76"/>
      <c r="BB153" s="76"/>
      <c r="BC153" s="77"/>
      <c r="BD153" s="210" t="s">
        <v>67</v>
      </c>
      <c r="BE153" s="117"/>
      <c r="BF153" s="199"/>
      <c r="BG153" s="199"/>
      <c r="BH153" s="199"/>
    </row>
    <row r="154" ht="104.25" customHeight="1">
      <c r="A154" s="50">
        <v>153.0</v>
      </c>
      <c r="B154" s="22">
        <v>2021.0</v>
      </c>
      <c r="C154" s="23" t="s">
        <v>812</v>
      </c>
      <c r="D154" s="24" t="s">
        <v>816</v>
      </c>
      <c r="E154" s="184" t="s">
        <v>59</v>
      </c>
      <c r="F154" s="53">
        <v>4.600013033E9</v>
      </c>
      <c r="G154" s="184" t="s">
        <v>314</v>
      </c>
      <c r="H154" s="184" t="str">
        <f t="shared" si="42"/>
        <v>SAN VICENTE DE FERRER</v>
      </c>
      <c r="I154" s="184" t="s">
        <v>120</v>
      </c>
      <c r="J154" s="184" t="s">
        <v>813</v>
      </c>
      <c r="K154" s="184" t="s">
        <v>814</v>
      </c>
      <c r="L154" s="184">
        <v>11.0</v>
      </c>
      <c r="M154" s="100">
        <v>0.0</v>
      </c>
      <c r="N154" s="326">
        <v>2882.86</v>
      </c>
      <c r="O154" s="113">
        <v>2.647820431E9</v>
      </c>
      <c r="P154" s="113">
        <v>2.964488668E9</v>
      </c>
      <c r="Q154" s="188">
        <f t="shared" si="2"/>
        <v>5612309099</v>
      </c>
      <c r="R154" s="189">
        <v>0.0</v>
      </c>
      <c r="S154" s="189">
        <v>0.0</v>
      </c>
      <c r="T154" s="190">
        <f t="shared" si="3"/>
        <v>5612309099</v>
      </c>
      <c r="U154" s="221" t="s">
        <v>64</v>
      </c>
      <c r="V154" s="221" t="s">
        <v>64</v>
      </c>
      <c r="W154" s="323"/>
      <c r="X154" s="193">
        <v>44532.0</v>
      </c>
      <c r="Y154" s="193">
        <v>44867.0</v>
      </c>
      <c r="Z154" s="194">
        <v>16.0</v>
      </c>
      <c r="AA154" s="194">
        <v>6.4</v>
      </c>
      <c r="AB154" s="193">
        <v>45517.0</v>
      </c>
      <c r="AC154" s="66">
        <f t="shared" si="4"/>
        <v>-770</v>
      </c>
      <c r="AD154" s="55"/>
      <c r="AE154" s="55"/>
      <c r="AF154" s="55"/>
      <c r="AG154" s="55"/>
      <c r="AH154" s="86">
        <f t="shared" si="40"/>
        <v>0</v>
      </c>
      <c r="AI154" s="223">
        <v>0.0</v>
      </c>
      <c r="AJ154" s="327"/>
      <c r="AK154" s="327"/>
      <c r="AL154" s="327"/>
      <c r="AM154" s="327"/>
      <c r="AN154" s="327"/>
      <c r="AO154" s="327">
        <v>634.0</v>
      </c>
      <c r="AP154" s="178">
        <v>0.0</v>
      </c>
      <c r="AQ154" s="327">
        <v>2882.86</v>
      </c>
      <c r="AR154" s="113">
        <f t="shared" si="43"/>
        <v>2647820431</v>
      </c>
      <c r="AS154" s="113">
        <f t="shared" si="45"/>
        <v>2647820431</v>
      </c>
      <c r="AT154" s="224">
        <f t="shared" si="46"/>
        <v>1</v>
      </c>
      <c r="AU154" s="224">
        <f t="shared" si="23"/>
        <v>1</v>
      </c>
      <c r="AV154" s="184" t="s">
        <v>815</v>
      </c>
      <c r="AW154" s="74"/>
      <c r="AX154" s="214"/>
      <c r="AY154" s="74"/>
      <c r="AZ154" s="76"/>
      <c r="BA154" s="76"/>
      <c r="BB154" s="76"/>
      <c r="BC154" s="77"/>
      <c r="BD154" s="210" t="s">
        <v>67</v>
      </c>
      <c r="BE154" s="117"/>
      <c r="BF154" s="199"/>
      <c r="BG154" s="199"/>
      <c r="BH154" s="199"/>
    </row>
    <row r="155" ht="104.25" customHeight="1">
      <c r="A155" s="21">
        <v>154.0</v>
      </c>
      <c r="B155" s="22">
        <v>2020.0</v>
      </c>
      <c r="C155" s="328" t="s">
        <v>57</v>
      </c>
      <c r="D155" s="24" t="s">
        <v>74</v>
      </c>
      <c r="E155" s="23" t="s">
        <v>817</v>
      </c>
      <c r="F155" s="25">
        <v>4.60001151E9</v>
      </c>
      <c r="G155" s="23"/>
      <c r="H155" s="23" t="str">
        <f t="shared" si="42"/>
        <v/>
      </c>
      <c r="I155" s="23" t="s">
        <v>61</v>
      </c>
      <c r="J155" s="23" t="s">
        <v>818</v>
      </c>
      <c r="K155" s="23" t="s">
        <v>819</v>
      </c>
      <c r="L155" s="23">
        <v>10.0</v>
      </c>
      <c r="M155" s="173">
        <v>16607.0</v>
      </c>
      <c r="N155" s="162">
        <v>0.0</v>
      </c>
      <c r="O155" s="82">
        <v>2.377717764E9</v>
      </c>
      <c r="P155" s="82">
        <v>0.0</v>
      </c>
      <c r="Q155" s="163">
        <f t="shared" si="2"/>
        <v>2377717764</v>
      </c>
      <c r="R155" s="164">
        <f>581263253+138179673+163115074</f>
        <v>882558000</v>
      </c>
      <c r="S155" s="164">
        <v>0.0</v>
      </c>
      <c r="T155" s="165">
        <f t="shared" si="3"/>
        <v>3260275764</v>
      </c>
      <c r="U155" s="83" t="s">
        <v>64</v>
      </c>
      <c r="V155" s="83" t="s">
        <v>64</v>
      </c>
      <c r="W155" s="329"/>
      <c r="X155" s="176">
        <v>44223.0</v>
      </c>
      <c r="Y155" s="176">
        <v>44527.0</v>
      </c>
      <c r="Z155" s="330">
        <v>24.79</v>
      </c>
      <c r="AA155" s="177">
        <v>6.7</v>
      </c>
      <c r="AB155" s="176">
        <v>45447.0</v>
      </c>
      <c r="AC155" s="38">
        <f t="shared" si="4"/>
        <v>-840</v>
      </c>
      <c r="AD155" s="27"/>
      <c r="AE155" s="27"/>
      <c r="AF155" s="27"/>
      <c r="AG155" s="27"/>
      <c r="AH155" s="95">
        <f t="shared" si="40"/>
        <v>0</v>
      </c>
      <c r="AI155" s="178">
        <v>0.0</v>
      </c>
      <c r="AJ155" s="211"/>
      <c r="AK155" s="211"/>
      <c r="AL155" s="211"/>
      <c r="AM155" s="211"/>
      <c r="AN155" s="211"/>
      <c r="AO155" s="211">
        <v>0.0</v>
      </c>
      <c r="AP155" s="178">
        <v>15500.0</v>
      </c>
      <c r="AQ155" s="211">
        <v>0.0</v>
      </c>
      <c r="AR155" s="82">
        <f>T155</f>
        <v>3260275764</v>
      </c>
      <c r="AS155" s="82">
        <v>2.480602384E9</v>
      </c>
      <c r="AT155" s="228">
        <f>AP155/M155</f>
        <v>0.9333413621</v>
      </c>
      <c r="AU155" s="228">
        <f t="shared" si="23"/>
        <v>0.7608566157</v>
      </c>
      <c r="AV155" s="103" t="s">
        <v>820</v>
      </c>
      <c r="AW155" s="91"/>
      <c r="AX155" s="182"/>
      <c r="AY155" s="91"/>
      <c r="AZ155" s="92"/>
      <c r="BA155" s="92"/>
      <c r="BB155" s="92"/>
      <c r="BC155" s="46"/>
      <c r="BD155" s="44" t="s">
        <v>67</v>
      </c>
      <c r="BE155" s="47"/>
      <c r="BF155" s="99"/>
      <c r="BG155" s="99"/>
      <c r="BH155" s="99"/>
    </row>
    <row r="156" ht="104.25" customHeight="1">
      <c r="A156" s="21">
        <v>155.0</v>
      </c>
      <c r="B156" s="22">
        <v>2021.0</v>
      </c>
      <c r="C156" s="23" t="s">
        <v>812</v>
      </c>
      <c r="D156" s="24" t="s">
        <v>816</v>
      </c>
      <c r="E156" s="23" t="s">
        <v>59</v>
      </c>
      <c r="F156" s="25">
        <v>4.600013092E9</v>
      </c>
      <c r="G156" s="23" t="s">
        <v>821</v>
      </c>
      <c r="H156" s="23" t="str">
        <f t="shared" si="42"/>
        <v>BELLO</v>
      </c>
      <c r="I156" s="23" t="s">
        <v>185</v>
      </c>
      <c r="J156" s="23" t="s">
        <v>822</v>
      </c>
      <c r="K156" s="23" t="s">
        <v>823</v>
      </c>
      <c r="L156" s="23">
        <v>24.0</v>
      </c>
      <c r="M156" s="173">
        <v>0.0</v>
      </c>
      <c r="N156" s="331">
        <v>1.0</v>
      </c>
      <c r="O156" s="82">
        <v>4.444898488E9</v>
      </c>
      <c r="P156" s="82">
        <v>1.7779593951E10</v>
      </c>
      <c r="Q156" s="163">
        <f t="shared" si="2"/>
        <v>22224492439</v>
      </c>
      <c r="R156" s="164">
        <v>0.0</v>
      </c>
      <c r="S156" s="164">
        <v>0.0</v>
      </c>
      <c r="T156" s="165">
        <f t="shared" si="3"/>
        <v>22224492439</v>
      </c>
      <c r="U156" s="83" t="s">
        <v>64</v>
      </c>
      <c r="V156" s="83" t="s">
        <v>64</v>
      </c>
      <c r="W156" s="292"/>
      <c r="X156" s="176">
        <v>44539.0</v>
      </c>
      <c r="Y156" s="176">
        <v>45269.0</v>
      </c>
      <c r="Z156" s="177">
        <v>11.2</v>
      </c>
      <c r="AA156" s="177">
        <v>8.3</v>
      </c>
      <c r="AB156" s="176">
        <v>45884.0</v>
      </c>
      <c r="AC156" s="38">
        <f t="shared" si="4"/>
        <v>-403</v>
      </c>
      <c r="AD156" s="27"/>
      <c r="AE156" s="27"/>
      <c r="AF156" s="27"/>
      <c r="AG156" s="27"/>
      <c r="AH156" s="86">
        <f t="shared" si="40"/>
        <v>0</v>
      </c>
      <c r="AI156" s="223">
        <v>0.0</v>
      </c>
      <c r="AJ156" s="332"/>
      <c r="AK156" s="332"/>
      <c r="AL156" s="332"/>
      <c r="AM156" s="332"/>
      <c r="AN156" s="332"/>
      <c r="AO156" s="332">
        <v>1.0</v>
      </c>
      <c r="AP156" s="178">
        <v>0.0</v>
      </c>
      <c r="AQ156" s="332">
        <v>1.0</v>
      </c>
      <c r="AR156" s="82">
        <f t="shared" ref="AR156:AR157" si="47">O156</f>
        <v>4444898488</v>
      </c>
      <c r="AS156" s="82">
        <f t="shared" ref="AS156:AS157" si="48">AR156</f>
        <v>4444898488</v>
      </c>
      <c r="AT156" s="228">
        <f t="shared" ref="AT156:AT157" si="49">AQ156/N156</f>
        <v>1</v>
      </c>
      <c r="AU156" s="228">
        <f t="shared" si="23"/>
        <v>1</v>
      </c>
      <c r="AV156" s="333" t="s">
        <v>824</v>
      </c>
      <c r="AW156" s="91"/>
      <c r="AX156" s="182"/>
      <c r="AY156" s="91"/>
      <c r="AZ156" s="92"/>
      <c r="BA156" s="92"/>
      <c r="BB156" s="92"/>
      <c r="BC156" s="46"/>
      <c r="BD156" s="44" t="s">
        <v>67</v>
      </c>
      <c r="BE156" s="47"/>
      <c r="BF156" s="99"/>
      <c r="BG156" s="99"/>
      <c r="BH156" s="99"/>
    </row>
    <row r="157" ht="104.25" customHeight="1">
      <c r="A157" s="21">
        <v>156.0</v>
      </c>
      <c r="B157" s="22">
        <v>2021.0</v>
      </c>
      <c r="C157" s="23" t="s">
        <v>812</v>
      </c>
      <c r="D157" s="24" t="s">
        <v>324</v>
      </c>
      <c r="E157" s="23" t="s">
        <v>59</v>
      </c>
      <c r="F157" s="25">
        <v>4.600013092E9</v>
      </c>
      <c r="G157" s="23" t="s">
        <v>821</v>
      </c>
      <c r="H157" s="23" t="str">
        <f t="shared" si="42"/>
        <v>BELLO</v>
      </c>
      <c r="I157" s="23" t="s">
        <v>185</v>
      </c>
      <c r="J157" s="23" t="s">
        <v>822</v>
      </c>
      <c r="K157" s="23" t="s">
        <v>823</v>
      </c>
      <c r="L157" s="23">
        <v>24.0</v>
      </c>
      <c r="M157" s="173">
        <v>0.0</v>
      </c>
      <c r="N157" s="331">
        <v>1339.0</v>
      </c>
      <c r="O157" s="82">
        <v>8.2507735E7</v>
      </c>
      <c r="P157" s="82">
        <v>3.3003094E8</v>
      </c>
      <c r="Q157" s="163">
        <f t="shared" si="2"/>
        <v>412538675</v>
      </c>
      <c r="R157" s="164">
        <v>0.0</v>
      </c>
      <c r="S157" s="164">
        <v>0.0</v>
      </c>
      <c r="T157" s="165">
        <f t="shared" si="3"/>
        <v>412538675</v>
      </c>
      <c r="U157" s="83" t="s">
        <v>64</v>
      </c>
      <c r="V157" s="83" t="s">
        <v>64</v>
      </c>
      <c r="W157" s="292"/>
      <c r="X157" s="176">
        <v>44539.0</v>
      </c>
      <c r="Y157" s="176">
        <v>45269.0</v>
      </c>
      <c r="Z157" s="177">
        <v>11.2</v>
      </c>
      <c r="AA157" s="177">
        <v>8.3</v>
      </c>
      <c r="AB157" s="176">
        <v>45884.0</v>
      </c>
      <c r="AC157" s="38">
        <f t="shared" si="4"/>
        <v>-403</v>
      </c>
      <c r="AD157" s="27"/>
      <c r="AE157" s="27"/>
      <c r="AF157" s="27"/>
      <c r="AG157" s="27"/>
      <c r="AH157" s="86">
        <f t="shared" si="40"/>
        <v>0</v>
      </c>
      <c r="AI157" s="223">
        <v>0.0</v>
      </c>
      <c r="AJ157" s="332"/>
      <c r="AK157" s="332"/>
      <c r="AL157" s="332"/>
      <c r="AM157" s="332"/>
      <c r="AN157" s="332"/>
      <c r="AO157" s="332">
        <v>692.26</v>
      </c>
      <c r="AP157" s="178">
        <v>0.0</v>
      </c>
      <c r="AQ157" s="332">
        <v>1339.0</v>
      </c>
      <c r="AR157" s="82">
        <f t="shared" si="47"/>
        <v>82507735</v>
      </c>
      <c r="AS157" s="82">
        <f t="shared" si="48"/>
        <v>82507735</v>
      </c>
      <c r="AT157" s="228">
        <f t="shared" si="49"/>
        <v>1</v>
      </c>
      <c r="AU157" s="228">
        <f t="shared" si="23"/>
        <v>1</v>
      </c>
      <c r="AV157" s="333" t="s">
        <v>824</v>
      </c>
      <c r="AW157" s="91"/>
      <c r="AX157" s="182"/>
      <c r="AY157" s="91"/>
      <c r="AZ157" s="92"/>
      <c r="BA157" s="92"/>
      <c r="BB157" s="92"/>
      <c r="BC157" s="46"/>
      <c r="BD157" s="44" t="s">
        <v>67</v>
      </c>
      <c r="BE157" s="47"/>
      <c r="BF157" s="99"/>
      <c r="BG157" s="99"/>
      <c r="BH157" s="99"/>
    </row>
    <row r="158" ht="104.25" customHeight="1">
      <c r="A158" s="50">
        <v>157.0</v>
      </c>
      <c r="B158" s="51">
        <v>2021.0</v>
      </c>
      <c r="C158" s="184" t="s">
        <v>234</v>
      </c>
      <c r="D158" s="52" t="s">
        <v>74</v>
      </c>
      <c r="E158" s="184" t="s">
        <v>817</v>
      </c>
      <c r="F158" s="303">
        <v>4.600011655E9</v>
      </c>
      <c r="G158" s="184"/>
      <c r="H158" s="184" t="str">
        <f t="shared" si="42"/>
        <v/>
      </c>
      <c r="I158" s="184" t="s">
        <v>127</v>
      </c>
      <c r="J158" s="184" t="s">
        <v>825</v>
      </c>
      <c r="K158" s="184" t="s">
        <v>826</v>
      </c>
      <c r="L158" s="184">
        <v>10.0</v>
      </c>
      <c r="M158" s="100">
        <v>13879.0</v>
      </c>
      <c r="N158" s="187">
        <v>0.0</v>
      </c>
      <c r="O158" s="113">
        <v>1.531513035E9</v>
      </c>
      <c r="P158" s="113">
        <v>0.0</v>
      </c>
      <c r="Q158" s="188">
        <f t="shared" si="2"/>
        <v>1531513035</v>
      </c>
      <c r="R158" s="189">
        <f>69006952+780086375+266540633+133391562+270710126+54000000</f>
        <v>1573735648</v>
      </c>
      <c r="S158" s="189">
        <v>0.0</v>
      </c>
      <c r="T158" s="190">
        <f t="shared" si="3"/>
        <v>3105248683</v>
      </c>
      <c r="U158" s="221" t="s">
        <v>64</v>
      </c>
      <c r="V158" s="221" t="s">
        <v>64</v>
      </c>
      <c r="W158" s="323"/>
      <c r="X158" s="193">
        <v>44270.0</v>
      </c>
      <c r="Y158" s="193">
        <v>44545.0</v>
      </c>
      <c r="Z158" s="334">
        <v>22.55</v>
      </c>
      <c r="AA158" s="194">
        <v>8.9</v>
      </c>
      <c r="AB158" s="193">
        <v>45750.0</v>
      </c>
      <c r="AC158" s="66">
        <f t="shared" si="4"/>
        <v>-537</v>
      </c>
      <c r="AD158" s="335"/>
      <c r="AE158" s="281">
        <v>278.0</v>
      </c>
      <c r="AF158" s="336"/>
      <c r="AG158" s="336"/>
      <c r="AH158" s="337">
        <f t="shared" si="40"/>
        <v>278</v>
      </c>
      <c r="AI158" s="338">
        <v>277.6</v>
      </c>
      <c r="AJ158" s="280"/>
      <c r="AK158" s="280"/>
      <c r="AL158" s="280"/>
      <c r="AM158" s="280"/>
      <c r="AN158" s="280"/>
      <c r="AO158" s="280">
        <v>0.0</v>
      </c>
      <c r="AP158" s="178">
        <v>13601.0</v>
      </c>
      <c r="AQ158" s="280">
        <v>0.0</v>
      </c>
      <c r="AR158" s="113">
        <f>T158</f>
        <v>3105248683</v>
      </c>
      <c r="AS158" s="113">
        <f>1531513035+69006952</f>
        <v>1600519987</v>
      </c>
      <c r="AT158" s="224">
        <f t="shared" ref="AT158:AT159" si="50">AP158/M158</f>
        <v>0.9799697385</v>
      </c>
      <c r="AU158" s="224">
        <f t="shared" si="23"/>
        <v>0.5154240933</v>
      </c>
      <c r="AV158" s="339" t="s">
        <v>827</v>
      </c>
      <c r="AW158" s="74"/>
      <c r="AX158" s="214"/>
      <c r="AY158" s="74"/>
      <c r="AZ158" s="76"/>
      <c r="BA158" s="76"/>
      <c r="BB158" s="76"/>
      <c r="BC158" s="77"/>
      <c r="BD158" s="210" t="s">
        <v>67</v>
      </c>
      <c r="BE158" s="117"/>
      <c r="BF158" s="199"/>
      <c r="BG158" s="199"/>
      <c r="BH158" s="199"/>
    </row>
    <row r="159" ht="104.25" customHeight="1">
      <c r="A159" s="50">
        <v>158.0</v>
      </c>
      <c r="B159" s="51">
        <v>2021.0</v>
      </c>
      <c r="C159" s="120" t="s">
        <v>150</v>
      </c>
      <c r="D159" s="52" t="s">
        <v>118</v>
      </c>
      <c r="E159" s="184" t="s">
        <v>828</v>
      </c>
      <c r="F159" s="25">
        <v>4.600012381E9</v>
      </c>
      <c r="G159" s="184" t="s">
        <v>487</v>
      </c>
      <c r="H159" s="184" t="str">
        <f t="shared" si="42"/>
        <v>TAMESIS</v>
      </c>
      <c r="I159" s="184" t="s">
        <v>78</v>
      </c>
      <c r="J159" s="184" t="s">
        <v>829</v>
      </c>
      <c r="K159" s="184" t="s">
        <v>830</v>
      </c>
      <c r="L159" s="184">
        <v>8.0</v>
      </c>
      <c r="M159" s="100">
        <v>810.0</v>
      </c>
      <c r="N159" s="187">
        <v>0.0</v>
      </c>
      <c r="O159" s="113">
        <v>6.59389096E8</v>
      </c>
      <c r="P159" s="113">
        <v>6.59389096E8</v>
      </c>
      <c r="Q159" s="188">
        <f t="shared" si="2"/>
        <v>1318778192</v>
      </c>
      <c r="R159" s="189">
        <v>0.0</v>
      </c>
      <c r="S159" s="189">
        <v>0.0</v>
      </c>
      <c r="T159" s="190">
        <f t="shared" si="3"/>
        <v>1318778192</v>
      </c>
      <c r="U159" s="221" t="s">
        <v>438</v>
      </c>
      <c r="V159" s="221" t="s">
        <v>438</v>
      </c>
      <c r="W159" s="323"/>
      <c r="X159" s="193">
        <v>44483.0</v>
      </c>
      <c r="Y159" s="193">
        <v>44726.0</v>
      </c>
      <c r="Z159" s="334">
        <v>0.0</v>
      </c>
      <c r="AA159" s="194">
        <v>48.0</v>
      </c>
      <c r="AB159" s="193">
        <v>46494.0</v>
      </c>
      <c r="AC159" s="66">
        <f t="shared" si="4"/>
        <v>207</v>
      </c>
      <c r="AD159" s="55"/>
      <c r="AE159" s="55"/>
      <c r="AF159" s="55"/>
      <c r="AG159" s="55"/>
      <c r="AH159" s="86">
        <f t="shared" si="40"/>
        <v>0</v>
      </c>
      <c r="AI159" s="223">
        <v>0.0</v>
      </c>
      <c r="AJ159" s="280"/>
      <c r="AK159" s="280"/>
      <c r="AL159" s="280"/>
      <c r="AM159" s="280"/>
      <c r="AN159" s="280"/>
      <c r="AO159" s="280">
        <v>0.0</v>
      </c>
      <c r="AP159" s="178">
        <v>0.0</v>
      </c>
      <c r="AQ159" s="280">
        <v>0.0</v>
      </c>
      <c r="AR159" s="113">
        <v>6.59389096E8</v>
      </c>
      <c r="AS159" s="113">
        <v>0.0</v>
      </c>
      <c r="AT159" s="224">
        <f t="shared" si="50"/>
        <v>0</v>
      </c>
      <c r="AU159" s="224">
        <f t="shared" si="23"/>
        <v>0</v>
      </c>
      <c r="AV159" s="184" t="s">
        <v>831</v>
      </c>
      <c r="AW159" s="74"/>
      <c r="AX159" s="214"/>
      <c r="AY159" s="74"/>
      <c r="AZ159" s="76"/>
      <c r="BA159" s="76"/>
      <c r="BB159" s="76"/>
      <c r="BC159" s="77"/>
      <c r="BD159" s="210" t="s">
        <v>67</v>
      </c>
      <c r="BE159" s="117"/>
      <c r="BF159" s="199"/>
      <c r="BG159" s="199"/>
      <c r="BH159" s="199"/>
    </row>
    <row r="160" ht="104.25" customHeight="1">
      <c r="A160" s="21">
        <v>159.0</v>
      </c>
      <c r="B160" s="22">
        <v>2022.0</v>
      </c>
      <c r="C160" s="23" t="s">
        <v>832</v>
      </c>
      <c r="D160" s="24" t="s">
        <v>324</v>
      </c>
      <c r="E160" s="23" t="s">
        <v>59</v>
      </c>
      <c r="F160" s="25">
        <v>4.600014806E9</v>
      </c>
      <c r="G160" s="23" t="s">
        <v>833</v>
      </c>
      <c r="H160" s="23" t="str">
        <f t="shared" si="42"/>
        <v>APARTADÓ</v>
      </c>
      <c r="I160" s="23" t="s">
        <v>61</v>
      </c>
      <c r="J160" s="23" t="s">
        <v>834</v>
      </c>
      <c r="K160" s="23" t="s">
        <v>835</v>
      </c>
      <c r="L160" s="23">
        <v>12.0</v>
      </c>
      <c r="M160" s="173">
        <v>0.0</v>
      </c>
      <c r="N160" s="331">
        <v>5280.0</v>
      </c>
      <c r="O160" s="82">
        <v>1.1E9</v>
      </c>
      <c r="P160" s="82">
        <v>2.782817007E9</v>
      </c>
      <c r="Q160" s="163">
        <f t="shared" si="2"/>
        <v>3882817007</v>
      </c>
      <c r="R160" s="164">
        <v>0.0</v>
      </c>
      <c r="S160" s="164">
        <v>0.0</v>
      </c>
      <c r="T160" s="165">
        <f t="shared" si="3"/>
        <v>3882817007</v>
      </c>
      <c r="U160" s="83" t="s">
        <v>64</v>
      </c>
      <c r="V160" s="83" t="s">
        <v>64</v>
      </c>
      <c r="W160" s="176"/>
      <c r="X160" s="176">
        <v>44917.0</v>
      </c>
      <c r="Y160" s="176">
        <v>45282.0</v>
      </c>
      <c r="Z160" s="177">
        <v>4.0</v>
      </c>
      <c r="AA160" s="177">
        <v>0.0</v>
      </c>
      <c r="AB160" s="176">
        <v>45404.0</v>
      </c>
      <c r="AC160" s="38">
        <f t="shared" si="4"/>
        <v>-883</v>
      </c>
      <c r="AD160" s="27"/>
      <c r="AE160" s="27"/>
      <c r="AF160" s="27"/>
      <c r="AG160" s="27"/>
      <c r="AH160" s="86">
        <f t="shared" si="40"/>
        <v>0</v>
      </c>
      <c r="AI160" s="223">
        <v>0.0</v>
      </c>
      <c r="AJ160" s="331"/>
      <c r="AK160" s="331"/>
      <c r="AL160" s="331"/>
      <c r="AM160" s="331"/>
      <c r="AN160" s="331"/>
      <c r="AO160" s="331">
        <v>2904.0</v>
      </c>
      <c r="AP160" s="178">
        <v>0.0</v>
      </c>
      <c r="AQ160" s="331">
        <v>4224.0</v>
      </c>
      <c r="AR160" s="82">
        <f t="shared" ref="AR160:AR168" si="51">O160</f>
        <v>1100000000</v>
      </c>
      <c r="AS160" s="82">
        <f t="shared" ref="AS160:AS177" si="52">AR160</f>
        <v>1100000000</v>
      </c>
      <c r="AT160" s="228">
        <f t="shared" ref="AT160:AT177" si="53">AQ160/N160</f>
        <v>0.8</v>
      </c>
      <c r="AU160" s="228">
        <f t="shared" si="23"/>
        <v>1</v>
      </c>
      <c r="AV160" s="23" t="s">
        <v>836</v>
      </c>
      <c r="AW160" s="91"/>
      <c r="AX160" s="182"/>
      <c r="AY160" s="91"/>
      <c r="AZ160" s="92"/>
      <c r="BA160" s="92"/>
      <c r="BB160" s="92"/>
      <c r="BC160" s="46"/>
      <c r="BD160" s="44" t="s">
        <v>67</v>
      </c>
      <c r="BE160" s="47"/>
      <c r="BF160" s="99"/>
      <c r="BG160" s="99"/>
      <c r="BH160" s="99"/>
    </row>
    <row r="161" ht="104.25" customHeight="1">
      <c r="A161" s="21">
        <v>160.0</v>
      </c>
      <c r="B161" s="22">
        <v>2022.0</v>
      </c>
      <c r="C161" s="23" t="s">
        <v>837</v>
      </c>
      <c r="D161" s="24" t="s">
        <v>324</v>
      </c>
      <c r="E161" s="23" t="s">
        <v>59</v>
      </c>
      <c r="F161" s="25">
        <v>4.600014772E9</v>
      </c>
      <c r="G161" s="23" t="s">
        <v>838</v>
      </c>
      <c r="H161" s="23" t="str">
        <f t="shared" si="42"/>
        <v>CALDAS</v>
      </c>
      <c r="I161" s="23" t="s">
        <v>185</v>
      </c>
      <c r="J161" s="23" t="s">
        <v>839</v>
      </c>
      <c r="K161" s="23" t="s">
        <v>840</v>
      </c>
      <c r="L161" s="23">
        <v>11.3</v>
      </c>
      <c r="M161" s="173">
        <v>0.0</v>
      </c>
      <c r="N161" s="331">
        <v>6550.0</v>
      </c>
      <c r="O161" s="82">
        <v>5.0E9</v>
      </c>
      <c r="P161" s="82">
        <v>4.445849067E9</v>
      </c>
      <c r="Q161" s="163">
        <f t="shared" si="2"/>
        <v>9445849067</v>
      </c>
      <c r="R161" s="164">
        <v>0.0</v>
      </c>
      <c r="S161" s="164">
        <v>0.0</v>
      </c>
      <c r="T161" s="165">
        <f t="shared" si="3"/>
        <v>9445849067</v>
      </c>
      <c r="U161" s="83" t="s">
        <v>64</v>
      </c>
      <c r="V161" s="83" t="s">
        <v>64</v>
      </c>
      <c r="W161" s="176"/>
      <c r="X161" s="176">
        <v>44911.0</v>
      </c>
      <c r="Y161" s="176">
        <v>45246.0</v>
      </c>
      <c r="Z161" s="177">
        <v>7.1</v>
      </c>
      <c r="AA161" s="177">
        <v>0.0</v>
      </c>
      <c r="AB161" s="176">
        <v>45471.0</v>
      </c>
      <c r="AC161" s="38">
        <f t="shared" si="4"/>
        <v>-816</v>
      </c>
      <c r="AD161" s="27"/>
      <c r="AE161" s="27"/>
      <c r="AF161" s="27"/>
      <c r="AG161" s="27"/>
      <c r="AH161" s="86">
        <f t="shared" si="40"/>
        <v>0</v>
      </c>
      <c r="AI161" s="223">
        <v>0.0</v>
      </c>
      <c r="AJ161" s="331"/>
      <c r="AK161" s="331"/>
      <c r="AL161" s="331"/>
      <c r="AM161" s="331"/>
      <c r="AN161" s="331"/>
      <c r="AO161" s="331">
        <v>1179.0</v>
      </c>
      <c r="AP161" s="178">
        <v>0.0</v>
      </c>
      <c r="AQ161" s="331">
        <v>6550.0</v>
      </c>
      <c r="AR161" s="82">
        <f t="shared" si="51"/>
        <v>5000000000</v>
      </c>
      <c r="AS161" s="82">
        <f t="shared" si="52"/>
        <v>5000000000</v>
      </c>
      <c r="AT161" s="228">
        <f t="shared" si="53"/>
        <v>1</v>
      </c>
      <c r="AU161" s="228">
        <f t="shared" si="23"/>
        <v>1</v>
      </c>
      <c r="AV161" s="23" t="s">
        <v>841</v>
      </c>
      <c r="AW161" s="91"/>
      <c r="AX161" s="182"/>
      <c r="AY161" s="91"/>
      <c r="AZ161" s="92"/>
      <c r="BA161" s="92"/>
      <c r="BB161" s="92"/>
      <c r="BC161" s="46"/>
      <c r="BD161" s="44" t="s">
        <v>67</v>
      </c>
      <c r="BE161" s="47"/>
      <c r="BF161" s="99"/>
      <c r="BG161" s="99"/>
      <c r="BH161" s="99"/>
    </row>
    <row r="162" ht="104.25" customHeight="1">
      <c r="A162" s="21">
        <v>161.0</v>
      </c>
      <c r="B162" s="22">
        <v>2022.0</v>
      </c>
      <c r="C162" s="23" t="s">
        <v>842</v>
      </c>
      <c r="D162" s="24" t="s">
        <v>324</v>
      </c>
      <c r="E162" s="23" t="s">
        <v>59</v>
      </c>
      <c r="F162" s="25">
        <v>4.60001464E9</v>
      </c>
      <c r="G162" s="23" t="s">
        <v>409</v>
      </c>
      <c r="H162" s="23" t="s">
        <v>409</v>
      </c>
      <c r="I162" s="23" t="s">
        <v>174</v>
      </c>
      <c r="J162" s="23" t="s">
        <v>843</v>
      </c>
      <c r="K162" s="23" t="s">
        <v>844</v>
      </c>
      <c r="L162" s="23">
        <v>11.2</v>
      </c>
      <c r="M162" s="173">
        <v>0.0</v>
      </c>
      <c r="N162" s="331">
        <v>4502.0</v>
      </c>
      <c r="O162" s="82">
        <v>3.482694221E9</v>
      </c>
      <c r="P162" s="82">
        <v>1.115706879E9</v>
      </c>
      <c r="Q162" s="163">
        <f t="shared" si="2"/>
        <v>4598401100</v>
      </c>
      <c r="R162" s="164">
        <v>0.0</v>
      </c>
      <c r="S162" s="164">
        <v>0.0</v>
      </c>
      <c r="T162" s="165">
        <f t="shared" si="3"/>
        <v>4598401100</v>
      </c>
      <c r="U162" s="83" t="s">
        <v>64</v>
      </c>
      <c r="V162" s="83" t="s">
        <v>64</v>
      </c>
      <c r="W162" s="176"/>
      <c r="X162" s="176">
        <v>44914.0</v>
      </c>
      <c r="Y162" s="176">
        <v>45249.0</v>
      </c>
      <c r="Z162" s="177">
        <v>9.2</v>
      </c>
      <c r="AA162" s="177">
        <v>2.5</v>
      </c>
      <c r="AB162" s="176">
        <v>45611.0</v>
      </c>
      <c r="AC162" s="38">
        <f t="shared" si="4"/>
        <v>-676</v>
      </c>
      <c r="AD162" s="27"/>
      <c r="AE162" s="27"/>
      <c r="AF162" s="27"/>
      <c r="AG162" s="27"/>
      <c r="AH162" s="86">
        <f t="shared" si="40"/>
        <v>0</v>
      </c>
      <c r="AI162" s="223">
        <v>0.0</v>
      </c>
      <c r="AJ162" s="331"/>
      <c r="AK162" s="331"/>
      <c r="AL162" s="331"/>
      <c r="AM162" s="331"/>
      <c r="AN162" s="331"/>
      <c r="AO162" s="331">
        <v>2495.91</v>
      </c>
      <c r="AP162" s="178">
        <v>0.0</v>
      </c>
      <c r="AQ162" s="331">
        <v>4502.0</v>
      </c>
      <c r="AR162" s="82">
        <f t="shared" si="51"/>
        <v>3482694221</v>
      </c>
      <c r="AS162" s="82">
        <f t="shared" si="52"/>
        <v>3482694221</v>
      </c>
      <c r="AT162" s="228">
        <f t="shared" si="53"/>
        <v>1</v>
      </c>
      <c r="AU162" s="228">
        <f t="shared" si="23"/>
        <v>1</v>
      </c>
      <c r="AV162" s="23" t="s">
        <v>845</v>
      </c>
      <c r="AW162" s="91"/>
      <c r="AX162" s="182"/>
      <c r="AY162" s="91"/>
      <c r="AZ162" s="92"/>
      <c r="BA162" s="92"/>
      <c r="BB162" s="92"/>
      <c r="BC162" s="46"/>
      <c r="BD162" s="44" t="s">
        <v>67</v>
      </c>
      <c r="BE162" s="47"/>
      <c r="BF162" s="99"/>
      <c r="BG162" s="99"/>
      <c r="BH162" s="99"/>
    </row>
    <row r="163" ht="104.25" customHeight="1">
      <c r="A163" s="340">
        <v>162.0</v>
      </c>
      <c r="B163" s="212">
        <v>2022.0</v>
      </c>
      <c r="C163" s="341" t="s">
        <v>846</v>
      </c>
      <c r="D163" s="342" t="s">
        <v>324</v>
      </c>
      <c r="E163" s="341" t="s">
        <v>59</v>
      </c>
      <c r="F163" s="343">
        <v>4.600014698E9</v>
      </c>
      <c r="G163" s="341" t="s">
        <v>847</v>
      </c>
      <c r="H163" s="341" t="str">
        <f t="shared" ref="H163:H177" si="54">G163</f>
        <v>BELMIRA</v>
      </c>
      <c r="I163" s="341" t="s">
        <v>174</v>
      </c>
      <c r="J163" s="341" t="s">
        <v>848</v>
      </c>
      <c r="K163" s="341" t="s">
        <v>849</v>
      </c>
      <c r="L163" s="341">
        <v>8.0</v>
      </c>
      <c r="M163" s="237">
        <v>0.0</v>
      </c>
      <c r="N163" s="344">
        <v>10775.0</v>
      </c>
      <c r="O163" s="255">
        <v>3.0E9</v>
      </c>
      <c r="P163" s="255">
        <v>2.9962149E8</v>
      </c>
      <c r="Q163" s="345">
        <f t="shared" si="2"/>
        <v>3299621490</v>
      </c>
      <c r="R163" s="346">
        <v>0.0</v>
      </c>
      <c r="S163" s="346">
        <v>0.0</v>
      </c>
      <c r="T163" s="347">
        <f t="shared" si="3"/>
        <v>3299621490</v>
      </c>
      <c r="U163" s="348" t="s">
        <v>220</v>
      </c>
      <c r="V163" s="348" t="s">
        <v>220</v>
      </c>
      <c r="W163" s="323"/>
      <c r="X163" s="323">
        <v>44911.0</v>
      </c>
      <c r="Y163" s="323">
        <v>45249.0</v>
      </c>
      <c r="Z163" s="349">
        <v>5.5</v>
      </c>
      <c r="AA163" s="349">
        <v>0.0</v>
      </c>
      <c r="AB163" s="323">
        <v>45322.0</v>
      </c>
      <c r="AC163" s="350">
        <f t="shared" si="4"/>
        <v>-965</v>
      </c>
      <c r="AD163" s="196"/>
      <c r="AE163" s="196"/>
      <c r="AF163" s="196"/>
      <c r="AG163" s="196"/>
      <c r="AH163" s="95">
        <f t="shared" si="40"/>
        <v>0</v>
      </c>
      <c r="AI163" s="351">
        <v>0.0</v>
      </c>
      <c r="AJ163" s="352"/>
      <c r="AK163" s="352"/>
      <c r="AL163" s="352"/>
      <c r="AM163" s="352"/>
      <c r="AN163" s="352"/>
      <c r="AO163" s="352">
        <v>862.0</v>
      </c>
      <c r="AP163" s="197">
        <v>0.0</v>
      </c>
      <c r="AQ163" s="344">
        <v>10775.0</v>
      </c>
      <c r="AR163" s="255">
        <f t="shared" si="51"/>
        <v>3000000000</v>
      </c>
      <c r="AS163" s="255">
        <f t="shared" si="52"/>
        <v>3000000000</v>
      </c>
      <c r="AT163" s="353">
        <f t="shared" si="53"/>
        <v>1</v>
      </c>
      <c r="AU163" s="353">
        <f t="shared" si="23"/>
        <v>1</v>
      </c>
      <c r="AV163" s="341" t="s">
        <v>850</v>
      </c>
      <c r="AW163" s="354"/>
      <c r="AX163" s="355">
        <v>46149.0</v>
      </c>
      <c r="AY163" s="356" t="s">
        <v>273</v>
      </c>
      <c r="AZ163" s="357" t="s">
        <v>68</v>
      </c>
      <c r="BA163" s="357" t="s">
        <v>68</v>
      </c>
      <c r="BB163" s="358" t="s">
        <v>68</v>
      </c>
      <c r="BC163" s="359"/>
      <c r="BD163" s="357" t="s">
        <v>274</v>
      </c>
      <c r="BE163" s="360">
        <v>46237.0</v>
      </c>
      <c r="BF163" s="361"/>
      <c r="BG163" s="361"/>
      <c r="BH163" s="361"/>
    </row>
    <row r="164" ht="104.25" customHeight="1">
      <c r="A164" s="50">
        <v>163.0</v>
      </c>
      <c r="B164" s="51">
        <v>2022.0</v>
      </c>
      <c r="C164" s="184" t="s">
        <v>846</v>
      </c>
      <c r="D164" s="52" t="s">
        <v>324</v>
      </c>
      <c r="E164" s="184" t="s">
        <v>59</v>
      </c>
      <c r="F164" s="53">
        <v>4.600014909E9</v>
      </c>
      <c r="G164" s="184" t="s">
        <v>492</v>
      </c>
      <c r="H164" s="184" t="str">
        <f t="shared" si="54"/>
        <v>YARUMAL</v>
      </c>
      <c r="I164" s="184" t="s">
        <v>174</v>
      </c>
      <c r="J164" s="184" t="s">
        <v>851</v>
      </c>
      <c r="K164" s="184" t="s">
        <v>852</v>
      </c>
      <c r="L164" s="184">
        <v>11.0</v>
      </c>
      <c r="M164" s="100">
        <v>0.0</v>
      </c>
      <c r="N164" s="326">
        <v>7438.82</v>
      </c>
      <c r="O164" s="113">
        <v>1.5E9</v>
      </c>
      <c r="P164" s="113">
        <v>4.418245204E9</v>
      </c>
      <c r="Q164" s="188">
        <f t="shared" si="2"/>
        <v>5918245204</v>
      </c>
      <c r="R164" s="189">
        <v>0.0</v>
      </c>
      <c r="S164" s="189">
        <v>0.0</v>
      </c>
      <c r="T164" s="190">
        <f t="shared" si="3"/>
        <v>5918245204</v>
      </c>
      <c r="U164" s="221" t="s">
        <v>220</v>
      </c>
      <c r="V164" s="221" t="s">
        <v>220</v>
      </c>
      <c r="W164" s="323"/>
      <c r="X164" s="193">
        <v>44924.0</v>
      </c>
      <c r="Y164" s="193">
        <v>45259.0</v>
      </c>
      <c r="Z164" s="194">
        <v>3.0</v>
      </c>
      <c r="AA164" s="194">
        <v>0.0</v>
      </c>
      <c r="AB164" s="193">
        <v>45351.0</v>
      </c>
      <c r="AC164" s="66">
        <f t="shared" si="4"/>
        <v>-936</v>
      </c>
      <c r="AD164" s="55"/>
      <c r="AE164" s="55"/>
      <c r="AF164" s="55"/>
      <c r="AG164" s="55"/>
      <c r="AH164" s="86">
        <f t="shared" si="40"/>
        <v>0</v>
      </c>
      <c r="AI164" s="223">
        <v>0.0</v>
      </c>
      <c r="AJ164" s="326"/>
      <c r="AK164" s="326"/>
      <c r="AL164" s="326"/>
      <c r="AM164" s="326"/>
      <c r="AN164" s="326"/>
      <c r="AO164" s="326">
        <v>0.0</v>
      </c>
      <c r="AP164" s="178">
        <v>0.0</v>
      </c>
      <c r="AQ164" s="326">
        <v>7438.82</v>
      </c>
      <c r="AR164" s="113">
        <f t="shared" si="51"/>
        <v>1500000000</v>
      </c>
      <c r="AS164" s="113">
        <f t="shared" si="52"/>
        <v>1500000000</v>
      </c>
      <c r="AT164" s="224">
        <f t="shared" si="53"/>
        <v>1</v>
      </c>
      <c r="AU164" s="224">
        <f t="shared" si="23"/>
        <v>1</v>
      </c>
      <c r="AV164" s="184" t="s">
        <v>220</v>
      </c>
      <c r="AW164" s="74"/>
      <c r="AX164" s="214"/>
      <c r="AY164" s="74"/>
      <c r="AZ164" s="76"/>
      <c r="BA164" s="76"/>
      <c r="BB164" s="76"/>
      <c r="BC164" s="77"/>
      <c r="BD164" s="210" t="s">
        <v>67</v>
      </c>
      <c r="BE164" s="117"/>
      <c r="BF164" s="199"/>
      <c r="BG164" s="199"/>
      <c r="BH164" s="199"/>
    </row>
    <row r="165" ht="104.25" customHeight="1">
      <c r="A165" s="21">
        <v>164.0</v>
      </c>
      <c r="B165" s="22">
        <v>2022.0</v>
      </c>
      <c r="C165" s="23" t="s">
        <v>853</v>
      </c>
      <c r="D165" s="24" t="s">
        <v>324</v>
      </c>
      <c r="E165" s="23" t="s">
        <v>59</v>
      </c>
      <c r="F165" s="25">
        <v>4.600014911E9</v>
      </c>
      <c r="G165" s="23" t="s">
        <v>854</v>
      </c>
      <c r="H165" s="23" t="str">
        <f t="shared" si="54"/>
        <v>LA ESTRELLA</v>
      </c>
      <c r="I165" s="23" t="s">
        <v>185</v>
      </c>
      <c r="J165" s="23" t="s">
        <v>855</v>
      </c>
      <c r="K165" s="23" t="s">
        <v>856</v>
      </c>
      <c r="L165" s="23">
        <v>12.0</v>
      </c>
      <c r="M165" s="173">
        <v>0.0</v>
      </c>
      <c r="N165" s="331">
        <v>7758.77</v>
      </c>
      <c r="O165" s="82">
        <v>6.0E9</v>
      </c>
      <c r="P165" s="82">
        <v>5.23376745E8</v>
      </c>
      <c r="Q165" s="163">
        <f t="shared" si="2"/>
        <v>6523376745</v>
      </c>
      <c r="R165" s="164">
        <v>0.0</v>
      </c>
      <c r="S165" s="164">
        <v>0.0</v>
      </c>
      <c r="T165" s="165">
        <f t="shared" si="3"/>
        <v>6523376745</v>
      </c>
      <c r="U165" s="83" t="s">
        <v>64</v>
      </c>
      <c r="V165" s="83" t="s">
        <v>64</v>
      </c>
      <c r="W165" s="292"/>
      <c r="X165" s="176">
        <v>44924.0</v>
      </c>
      <c r="Y165" s="176">
        <v>45289.0</v>
      </c>
      <c r="Z165" s="177">
        <v>9.0</v>
      </c>
      <c r="AA165" s="177">
        <v>0.0</v>
      </c>
      <c r="AB165" s="176">
        <v>45564.0</v>
      </c>
      <c r="AC165" s="38">
        <f t="shared" si="4"/>
        <v>-723</v>
      </c>
      <c r="AD165" s="27"/>
      <c r="AE165" s="27"/>
      <c r="AF165" s="27"/>
      <c r="AG165" s="27"/>
      <c r="AH165" s="86">
        <f t="shared" si="40"/>
        <v>0</v>
      </c>
      <c r="AI165" s="223">
        <v>0.0</v>
      </c>
      <c r="AJ165" s="331"/>
      <c r="AK165" s="331"/>
      <c r="AL165" s="331"/>
      <c r="AM165" s="331"/>
      <c r="AN165" s="331"/>
      <c r="AO165" s="331">
        <v>6051.84</v>
      </c>
      <c r="AP165" s="178">
        <v>0.0</v>
      </c>
      <c r="AQ165" s="331">
        <v>7758.77</v>
      </c>
      <c r="AR165" s="82">
        <f t="shared" si="51"/>
        <v>6000000000</v>
      </c>
      <c r="AS165" s="82">
        <f t="shared" si="52"/>
        <v>6000000000</v>
      </c>
      <c r="AT165" s="228">
        <f t="shared" si="53"/>
        <v>1</v>
      </c>
      <c r="AU165" s="228">
        <f t="shared" si="23"/>
        <v>1</v>
      </c>
      <c r="AV165" s="103" t="s">
        <v>857</v>
      </c>
      <c r="AW165" s="91"/>
      <c r="AX165" s="182"/>
      <c r="AY165" s="91"/>
      <c r="AZ165" s="92"/>
      <c r="BA165" s="92"/>
      <c r="BB165" s="92"/>
      <c r="BC165" s="46"/>
      <c r="BD165" s="44" t="s">
        <v>67</v>
      </c>
      <c r="BE165" s="47"/>
      <c r="BF165" s="99"/>
      <c r="BG165" s="99"/>
      <c r="BH165" s="99"/>
    </row>
    <row r="166" ht="104.25" customHeight="1">
      <c r="A166" s="21">
        <v>165.0</v>
      </c>
      <c r="B166" s="22">
        <v>2022.0</v>
      </c>
      <c r="C166" s="23" t="s">
        <v>846</v>
      </c>
      <c r="D166" s="24" t="s">
        <v>324</v>
      </c>
      <c r="E166" s="23" t="s">
        <v>59</v>
      </c>
      <c r="F166" s="25">
        <v>4.600014896E9</v>
      </c>
      <c r="G166" s="23" t="s">
        <v>212</v>
      </c>
      <c r="H166" s="23" t="str">
        <f t="shared" si="54"/>
        <v>GUARNE</v>
      </c>
      <c r="I166" s="23" t="s">
        <v>120</v>
      </c>
      <c r="J166" s="23" t="s">
        <v>858</v>
      </c>
      <c r="K166" s="23" t="s">
        <v>859</v>
      </c>
      <c r="L166" s="23">
        <v>9.0</v>
      </c>
      <c r="M166" s="173">
        <v>0.0</v>
      </c>
      <c r="N166" s="331">
        <v>5824.0</v>
      </c>
      <c r="O166" s="82">
        <v>5.07E9</v>
      </c>
      <c r="P166" s="82">
        <v>9.85952248E8</v>
      </c>
      <c r="Q166" s="163">
        <f t="shared" si="2"/>
        <v>6055952248</v>
      </c>
      <c r="R166" s="164">
        <v>0.0</v>
      </c>
      <c r="S166" s="164">
        <v>0.0</v>
      </c>
      <c r="T166" s="165">
        <f t="shared" si="3"/>
        <v>6055952248</v>
      </c>
      <c r="U166" s="83" t="s">
        <v>64</v>
      </c>
      <c r="V166" s="83" t="s">
        <v>64</v>
      </c>
      <c r="W166" s="292"/>
      <c r="X166" s="176">
        <v>44923.0</v>
      </c>
      <c r="Y166" s="176">
        <v>45197.0</v>
      </c>
      <c r="Z166" s="177">
        <v>7.6</v>
      </c>
      <c r="AA166" s="177">
        <v>1.3</v>
      </c>
      <c r="AB166" s="176">
        <v>45457.0</v>
      </c>
      <c r="AC166" s="38">
        <f t="shared" si="4"/>
        <v>-830</v>
      </c>
      <c r="AD166" s="27"/>
      <c r="AE166" s="27"/>
      <c r="AF166" s="27"/>
      <c r="AG166" s="27"/>
      <c r="AH166" s="86">
        <f t="shared" si="40"/>
        <v>0</v>
      </c>
      <c r="AI166" s="223">
        <v>0.0</v>
      </c>
      <c r="AJ166" s="331"/>
      <c r="AK166" s="331"/>
      <c r="AL166" s="331"/>
      <c r="AM166" s="331"/>
      <c r="AN166" s="331"/>
      <c r="AO166" s="331">
        <v>3203.0</v>
      </c>
      <c r="AP166" s="178">
        <v>0.0</v>
      </c>
      <c r="AQ166" s="331">
        <v>5824.0</v>
      </c>
      <c r="AR166" s="82">
        <f t="shared" si="51"/>
        <v>5070000000</v>
      </c>
      <c r="AS166" s="82">
        <f t="shared" si="52"/>
        <v>5070000000</v>
      </c>
      <c r="AT166" s="228">
        <f t="shared" si="53"/>
        <v>1</v>
      </c>
      <c r="AU166" s="228">
        <f t="shared" si="23"/>
        <v>1</v>
      </c>
      <c r="AV166" s="103" t="s">
        <v>860</v>
      </c>
      <c r="AW166" s="91"/>
      <c r="AX166" s="182"/>
      <c r="AY166" s="91"/>
      <c r="AZ166" s="92"/>
      <c r="BA166" s="92"/>
      <c r="BB166" s="92"/>
      <c r="BC166" s="46"/>
      <c r="BD166" s="44" t="s">
        <v>67</v>
      </c>
      <c r="BE166" s="47"/>
      <c r="BF166" s="99"/>
      <c r="BG166" s="99"/>
      <c r="BH166" s="99"/>
    </row>
    <row r="167" ht="104.25" customHeight="1">
      <c r="A167" s="50">
        <v>166.0</v>
      </c>
      <c r="B167" s="51">
        <v>2023.0</v>
      </c>
      <c r="C167" s="184" t="s">
        <v>861</v>
      </c>
      <c r="D167" s="52" t="s">
        <v>862</v>
      </c>
      <c r="E167" s="184" t="s">
        <v>59</v>
      </c>
      <c r="F167" s="362">
        <v>4.600015723E9</v>
      </c>
      <c r="G167" s="184" t="s">
        <v>540</v>
      </c>
      <c r="H167" s="184" t="str">
        <f t="shared" si="54"/>
        <v>CAICEDO</v>
      </c>
      <c r="I167" s="184" t="s">
        <v>127</v>
      </c>
      <c r="J167" s="184" t="s">
        <v>863</v>
      </c>
      <c r="K167" s="184" t="s">
        <v>864</v>
      </c>
      <c r="L167" s="184">
        <v>5.8</v>
      </c>
      <c r="M167" s="100">
        <v>0.0</v>
      </c>
      <c r="N167" s="326">
        <v>1.0</v>
      </c>
      <c r="O167" s="113">
        <v>5.92404749E8</v>
      </c>
      <c r="P167" s="113">
        <v>0.0</v>
      </c>
      <c r="Q167" s="188">
        <f t="shared" si="2"/>
        <v>592404749</v>
      </c>
      <c r="R167" s="114">
        <v>6.2833178E7</v>
      </c>
      <c r="S167" s="189">
        <v>0.0</v>
      </c>
      <c r="T167" s="190">
        <f t="shared" si="3"/>
        <v>655237927</v>
      </c>
      <c r="U167" s="221" t="s">
        <v>220</v>
      </c>
      <c r="V167" s="221" t="s">
        <v>220</v>
      </c>
      <c r="W167" s="323"/>
      <c r="X167" s="193">
        <v>45118.0</v>
      </c>
      <c r="Y167" s="193">
        <v>45291.0</v>
      </c>
      <c r="Z167" s="194">
        <v>1.0</v>
      </c>
      <c r="AA167" s="194">
        <v>0.0</v>
      </c>
      <c r="AB167" s="193">
        <v>45322.0</v>
      </c>
      <c r="AC167" s="66">
        <f t="shared" si="4"/>
        <v>-965</v>
      </c>
      <c r="AD167" s="55"/>
      <c r="AE167" s="55"/>
      <c r="AF167" s="55"/>
      <c r="AG167" s="55"/>
      <c r="AH167" s="86">
        <f t="shared" si="40"/>
        <v>0</v>
      </c>
      <c r="AI167" s="223">
        <v>0.0</v>
      </c>
      <c r="AJ167" s="326"/>
      <c r="AK167" s="326"/>
      <c r="AL167" s="326"/>
      <c r="AM167" s="326"/>
      <c r="AN167" s="326"/>
      <c r="AO167" s="326">
        <v>0.0</v>
      </c>
      <c r="AP167" s="178">
        <v>0.0</v>
      </c>
      <c r="AQ167" s="326">
        <v>1.0</v>
      </c>
      <c r="AR167" s="113">
        <f t="shared" si="51"/>
        <v>592404749</v>
      </c>
      <c r="AS167" s="113">
        <f t="shared" si="52"/>
        <v>592404749</v>
      </c>
      <c r="AT167" s="224">
        <f t="shared" si="53"/>
        <v>1</v>
      </c>
      <c r="AU167" s="224">
        <f t="shared" si="23"/>
        <v>1</v>
      </c>
      <c r="AV167" s="184" t="s">
        <v>865</v>
      </c>
      <c r="AW167" s="74"/>
      <c r="AX167" s="214"/>
      <c r="AY167" s="74"/>
      <c r="AZ167" s="76"/>
      <c r="BA167" s="76"/>
      <c r="BB167" s="76"/>
      <c r="BC167" s="77"/>
      <c r="BD167" s="210" t="s">
        <v>67</v>
      </c>
      <c r="BE167" s="117"/>
      <c r="BF167" s="199"/>
      <c r="BG167" s="199"/>
      <c r="BH167" s="199"/>
    </row>
    <row r="168" ht="104.25" customHeight="1">
      <c r="A168" s="50">
        <v>167.0</v>
      </c>
      <c r="B168" s="51">
        <v>2023.0</v>
      </c>
      <c r="C168" s="184" t="s">
        <v>861</v>
      </c>
      <c r="D168" s="52" t="s">
        <v>324</v>
      </c>
      <c r="E168" s="184" t="s">
        <v>59</v>
      </c>
      <c r="F168" s="362">
        <v>4.600015737E9</v>
      </c>
      <c r="G168" s="184" t="s">
        <v>540</v>
      </c>
      <c r="H168" s="184" t="str">
        <f t="shared" si="54"/>
        <v>CAICEDO</v>
      </c>
      <c r="I168" s="184" t="s">
        <v>127</v>
      </c>
      <c r="J168" s="184" t="s">
        <v>863</v>
      </c>
      <c r="K168" s="184" t="s">
        <v>864</v>
      </c>
      <c r="L168" s="184">
        <v>5.8</v>
      </c>
      <c r="M168" s="100">
        <v>0.0</v>
      </c>
      <c r="N168" s="326">
        <v>388.48</v>
      </c>
      <c r="O168" s="113">
        <v>3.031509558E9</v>
      </c>
      <c r="P168" s="113">
        <v>0.0</v>
      </c>
      <c r="Q168" s="188">
        <f t="shared" si="2"/>
        <v>3031509558</v>
      </c>
      <c r="R168" s="114">
        <v>0.0</v>
      </c>
      <c r="S168" s="189">
        <v>0.0</v>
      </c>
      <c r="T168" s="190">
        <f t="shared" si="3"/>
        <v>3031509558</v>
      </c>
      <c r="U168" s="221" t="s">
        <v>220</v>
      </c>
      <c r="V168" s="221" t="s">
        <v>220</v>
      </c>
      <c r="W168" s="323"/>
      <c r="X168" s="193">
        <v>45118.0</v>
      </c>
      <c r="Y168" s="193">
        <v>45271.0</v>
      </c>
      <c r="Z168" s="194">
        <v>1.0</v>
      </c>
      <c r="AA168" s="194">
        <v>0.0</v>
      </c>
      <c r="AB168" s="193">
        <v>45306.0</v>
      </c>
      <c r="AC168" s="66">
        <f t="shared" si="4"/>
        <v>-981</v>
      </c>
      <c r="AD168" s="55"/>
      <c r="AE168" s="55"/>
      <c r="AF168" s="55"/>
      <c r="AG168" s="55"/>
      <c r="AH168" s="86">
        <f t="shared" si="40"/>
        <v>0</v>
      </c>
      <c r="AI168" s="223">
        <v>0.0</v>
      </c>
      <c r="AJ168" s="326"/>
      <c r="AK168" s="326"/>
      <c r="AL168" s="326"/>
      <c r="AM168" s="326"/>
      <c r="AN168" s="326"/>
      <c r="AO168" s="326">
        <v>0.0</v>
      </c>
      <c r="AP168" s="178">
        <v>0.0</v>
      </c>
      <c r="AQ168" s="326">
        <v>388.48</v>
      </c>
      <c r="AR168" s="113">
        <f t="shared" si="51"/>
        <v>3031509558</v>
      </c>
      <c r="AS168" s="113">
        <f t="shared" si="52"/>
        <v>3031509558</v>
      </c>
      <c r="AT168" s="224">
        <f t="shared" si="53"/>
        <v>1</v>
      </c>
      <c r="AU168" s="224">
        <f t="shared" si="23"/>
        <v>1</v>
      </c>
      <c r="AV168" s="184" t="s">
        <v>865</v>
      </c>
      <c r="AW168" s="74"/>
      <c r="AX168" s="214"/>
      <c r="AY168" s="74"/>
      <c r="AZ168" s="76"/>
      <c r="BA168" s="76"/>
      <c r="BB168" s="76"/>
      <c r="BC168" s="77"/>
      <c r="BD168" s="210" t="s">
        <v>67</v>
      </c>
      <c r="BE168" s="117"/>
      <c r="BF168" s="199"/>
      <c r="BG168" s="199"/>
      <c r="BH168" s="199"/>
    </row>
    <row r="169" ht="104.25" customHeight="1">
      <c r="A169" s="21">
        <v>168.0</v>
      </c>
      <c r="B169" s="22">
        <v>2023.0</v>
      </c>
      <c r="C169" s="23" t="s">
        <v>846</v>
      </c>
      <c r="D169" s="24" t="s">
        <v>324</v>
      </c>
      <c r="E169" s="23" t="s">
        <v>59</v>
      </c>
      <c r="F169" s="25">
        <v>4.600015639E9</v>
      </c>
      <c r="G169" s="23" t="s">
        <v>866</v>
      </c>
      <c r="H169" s="23" t="str">
        <f t="shared" si="54"/>
        <v>ABRIAQUI</v>
      </c>
      <c r="I169" s="23" t="s">
        <v>127</v>
      </c>
      <c r="J169" s="23" t="s">
        <v>867</v>
      </c>
      <c r="K169" s="23" t="s">
        <v>868</v>
      </c>
      <c r="L169" s="23">
        <v>9.4</v>
      </c>
      <c r="M169" s="173">
        <v>0.0</v>
      </c>
      <c r="N169" s="331">
        <v>1659.0</v>
      </c>
      <c r="O169" s="82">
        <v>1.5E9</v>
      </c>
      <c r="P169" s="82">
        <v>2.34476838E8</v>
      </c>
      <c r="Q169" s="163">
        <f t="shared" si="2"/>
        <v>1734476838</v>
      </c>
      <c r="R169" s="135">
        <v>0.0</v>
      </c>
      <c r="S169" s="164">
        <v>0.0</v>
      </c>
      <c r="T169" s="165">
        <f t="shared" si="3"/>
        <v>1734476838</v>
      </c>
      <c r="U169" s="83" t="s">
        <v>64</v>
      </c>
      <c r="V169" s="83" t="s">
        <v>64</v>
      </c>
      <c r="W169" s="292"/>
      <c r="X169" s="176">
        <v>45086.0</v>
      </c>
      <c r="Y169" s="176">
        <v>45360.0</v>
      </c>
      <c r="Z169" s="177">
        <v>1.0</v>
      </c>
      <c r="AA169" s="177">
        <v>0.0</v>
      </c>
      <c r="AB169" s="176">
        <v>45391.0</v>
      </c>
      <c r="AC169" s="38">
        <f t="shared" si="4"/>
        <v>-896</v>
      </c>
      <c r="AD169" s="27"/>
      <c r="AE169" s="27"/>
      <c r="AF169" s="27"/>
      <c r="AG169" s="27"/>
      <c r="AH169" s="86">
        <f t="shared" si="40"/>
        <v>0</v>
      </c>
      <c r="AI169" s="223">
        <v>0.0</v>
      </c>
      <c r="AJ169" s="331"/>
      <c r="AK169" s="331"/>
      <c r="AL169" s="331"/>
      <c r="AM169" s="331"/>
      <c r="AN169" s="331"/>
      <c r="AO169" s="331">
        <v>232.0</v>
      </c>
      <c r="AP169" s="178">
        <v>0.0</v>
      </c>
      <c r="AQ169" s="331">
        <f t="shared" ref="AQ169:AR169" si="55">N169</f>
        <v>1659</v>
      </c>
      <c r="AR169" s="82">
        <f t="shared" si="55"/>
        <v>1500000000</v>
      </c>
      <c r="AS169" s="82">
        <f t="shared" si="52"/>
        <v>1500000000</v>
      </c>
      <c r="AT169" s="363">
        <f t="shared" si="53"/>
        <v>1</v>
      </c>
      <c r="AU169" s="363">
        <f t="shared" si="23"/>
        <v>1</v>
      </c>
      <c r="AV169" s="23" t="s">
        <v>869</v>
      </c>
      <c r="AW169" s="91"/>
      <c r="AX169" s="182"/>
      <c r="AY169" s="91"/>
      <c r="AZ169" s="92"/>
      <c r="BA169" s="92"/>
      <c r="BB169" s="92"/>
      <c r="BC169" s="46"/>
      <c r="BD169" s="44" t="s">
        <v>67</v>
      </c>
      <c r="BE169" s="47"/>
      <c r="BF169" s="99"/>
      <c r="BG169" s="99"/>
      <c r="BH169" s="99"/>
    </row>
    <row r="170" ht="104.25" customHeight="1">
      <c r="A170" s="21">
        <v>169.0</v>
      </c>
      <c r="B170" s="22">
        <v>2023.0</v>
      </c>
      <c r="C170" s="23" t="s">
        <v>846</v>
      </c>
      <c r="D170" s="24" t="s">
        <v>324</v>
      </c>
      <c r="E170" s="23" t="s">
        <v>59</v>
      </c>
      <c r="F170" s="25">
        <v>4.600015916E9</v>
      </c>
      <c r="G170" s="23" t="s">
        <v>126</v>
      </c>
      <c r="H170" s="23" t="str">
        <f t="shared" si="54"/>
        <v>ANZA</v>
      </c>
      <c r="I170" s="23" t="s">
        <v>127</v>
      </c>
      <c r="J170" s="23" t="s">
        <v>870</v>
      </c>
      <c r="K170" s="23" t="s">
        <v>871</v>
      </c>
      <c r="L170" s="23">
        <v>7.2</v>
      </c>
      <c r="M170" s="173">
        <v>0.0</v>
      </c>
      <c r="N170" s="331">
        <v>4683.0</v>
      </c>
      <c r="O170" s="82">
        <v>1.5E9</v>
      </c>
      <c r="P170" s="82">
        <v>1.360866388E9</v>
      </c>
      <c r="Q170" s="163">
        <f t="shared" si="2"/>
        <v>2860866388</v>
      </c>
      <c r="R170" s="135">
        <v>0.0</v>
      </c>
      <c r="S170" s="164">
        <v>0.0</v>
      </c>
      <c r="T170" s="165">
        <f t="shared" si="3"/>
        <v>2860866388</v>
      </c>
      <c r="U170" s="83" t="s">
        <v>64</v>
      </c>
      <c r="V170" s="83" t="s">
        <v>64</v>
      </c>
      <c r="W170" s="292"/>
      <c r="X170" s="176">
        <v>45117.0</v>
      </c>
      <c r="Y170" s="176">
        <v>45332.0</v>
      </c>
      <c r="Z170" s="177">
        <v>3.0</v>
      </c>
      <c r="AA170" s="177">
        <v>0.0</v>
      </c>
      <c r="AB170" s="176">
        <v>45422.0</v>
      </c>
      <c r="AC170" s="38">
        <f t="shared" si="4"/>
        <v>-865</v>
      </c>
      <c r="AD170" s="27"/>
      <c r="AE170" s="27"/>
      <c r="AF170" s="27"/>
      <c r="AG170" s="27"/>
      <c r="AH170" s="86">
        <f t="shared" si="40"/>
        <v>0</v>
      </c>
      <c r="AI170" s="223">
        <v>0.0</v>
      </c>
      <c r="AJ170" s="331"/>
      <c r="AK170" s="331"/>
      <c r="AL170" s="331"/>
      <c r="AM170" s="331"/>
      <c r="AN170" s="331"/>
      <c r="AO170" s="331">
        <v>1787.0</v>
      </c>
      <c r="AP170" s="178">
        <v>0.0</v>
      </c>
      <c r="AQ170" s="331">
        <f t="shared" ref="AQ170:AR170" si="56">N170</f>
        <v>4683</v>
      </c>
      <c r="AR170" s="82">
        <f t="shared" si="56"/>
        <v>1500000000</v>
      </c>
      <c r="AS170" s="82">
        <f t="shared" si="52"/>
        <v>1500000000</v>
      </c>
      <c r="AT170" s="228">
        <f t="shared" si="53"/>
        <v>1</v>
      </c>
      <c r="AU170" s="228">
        <f t="shared" si="23"/>
        <v>1</v>
      </c>
      <c r="AV170" s="23" t="s">
        <v>872</v>
      </c>
      <c r="AW170" s="91"/>
      <c r="AX170" s="182"/>
      <c r="AY170" s="91"/>
      <c r="AZ170" s="92"/>
      <c r="BA170" s="92"/>
      <c r="BB170" s="92"/>
      <c r="BC170" s="46"/>
      <c r="BD170" s="44" t="s">
        <v>67</v>
      </c>
      <c r="BE170" s="47"/>
      <c r="BF170" s="99"/>
      <c r="BG170" s="99"/>
      <c r="BH170" s="99"/>
    </row>
    <row r="171" ht="104.25" customHeight="1">
      <c r="A171" s="21">
        <v>170.0</v>
      </c>
      <c r="B171" s="22">
        <v>2022.0</v>
      </c>
      <c r="C171" s="52" t="s">
        <v>318</v>
      </c>
      <c r="D171" s="24" t="s">
        <v>324</v>
      </c>
      <c r="E171" s="23" t="s">
        <v>59</v>
      </c>
      <c r="F171" s="25">
        <v>4.600014774E9</v>
      </c>
      <c r="G171" s="23" t="s">
        <v>391</v>
      </c>
      <c r="H171" s="23" t="str">
        <f t="shared" si="54"/>
        <v>ANDES</v>
      </c>
      <c r="I171" s="23" t="s">
        <v>78</v>
      </c>
      <c r="J171" s="23" t="s">
        <v>873</v>
      </c>
      <c r="K171" s="23" t="s">
        <v>874</v>
      </c>
      <c r="L171" s="23">
        <v>10.4</v>
      </c>
      <c r="M171" s="173">
        <v>0.0</v>
      </c>
      <c r="N171" s="331">
        <v>14373.0</v>
      </c>
      <c r="O171" s="82">
        <v>3.0E9</v>
      </c>
      <c r="P171" s="82">
        <v>1.25280171E9</v>
      </c>
      <c r="Q171" s="163">
        <f t="shared" si="2"/>
        <v>4252801710</v>
      </c>
      <c r="R171" s="135">
        <v>1.5E9</v>
      </c>
      <c r="S171" s="164">
        <v>0.0</v>
      </c>
      <c r="T171" s="165">
        <f t="shared" si="3"/>
        <v>5752801710</v>
      </c>
      <c r="U171" s="83" t="s">
        <v>64</v>
      </c>
      <c r="V171" s="83" t="s">
        <v>64</v>
      </c>
      <c r="W171" s="292"/>
      <c r="X171" s="176">
        <v>44911.0</v>
      </c>
      <c r="Y171" s="176">
        <v>45215.0</v>
      </c>
      <c r="Z171" s="177">
        <v>15.0</v>
      </c>
      <c r="AA171" s="177">
        <v>8.5</v>
      </c>
      <c r="AB171" s="176">
        <v>45897.0</v>
      </c>
      <c r="AC171" s="38">
        <f t="shared" si="4"/>
        <v>-390</v>
      </c>
      <c r="AD171" s="27"/>
      <c r="AE171" s="27"/>
      <c r="AF171" s="27"/>
      <c r="AG171" s="27"/>
      <c r="AH171" s="86">
        <f t="shared" si="40"/>
        <v>0</v>
      </c>
      <c r="AI171" s="223">
        <v>0.0</v>
      </c>
      <c r="AJ171" s="331"/>
      <c r="AK171" s="331"/>
      <c r="AL171" s="331"/>
      <c r="AM171" s="331"/>
      <c r="AN171" s="331"/>
      <c r="AO171" s="331">
        <v>12596.0</v>
      </c>
      <c r="AP171" s="178">
        <v>0.0</v>
      </c>
      <c r="AQ171" s="331">
        <f t="shared" ref="AQ171:AQ173" si="57">N171</f>
        <v>14373</v>
      </c>
      <c r="AR171" s="82">
        <f t="shared" ref="AR171:AR173" si="58">O171+R171</f>
        <v>4500000000</v>
      </c>
      <c r="AS171" s="82">
        <f t="shared" si="52"/>
        <v>4500000000</v>
      </c>
      <c r="AT171" s="228">
        <f t="shared" si="53"/>
        <v>1</v>
      </c>
      <c r="AU171" s="228">
        <f t="shared" si="23"/>
        <v>1</v>
      </c>
      <c r="AV171" s="140" t="s">
        <v>875</v>
      </c>
      <c r="AW171" s="91"/>
      <c r="AX171" s="182"/>
      <c r="AY171" s="91"/>
      <c r="AZ171" s="92"/>
      <c r="BA171" s="92"/>
      <c r="BB171" s="92"/>
      <c r="BC171" s="46"/>
      <c r="BD171" s="44" t="s">
        <v>67</v>
      </c>
      <c r="BE171" s="47"/>
      <c r="BF171" s="99"/>
      <c r="BG171" s="99"/>
      <c r="BH171" s="99"/>
    </row>
    <row r="172" ht="104.25" customHeight="1">
      <c r="A172" s="50">
        <v>171.0</v>
      </c>
      <c r="B172" s="51">
        <v>2023.0</v>
      </c>
      <c r="C172" s="184" t="s">
        <v>876</v>
      </c>
      <c r="D172" s="52" t="s">
        <v>324</v>
      </c>
      <c r="E172" s="184" t="s">
        <v>59</v>
      </c>
      <c r="F172" s="53">
        <v>4.600016112E9</v>
      </c>
      <c r="G172" s="184" t="s">
        <v>877</v>
      </c>
      <c r="H172" s="184" t="str">
        <f t="shared" si="54"/>
        <v>EL SANTUARIO</v>
      </c>
      <c r="I172" s="184" t="s">
        <v>120</v>
      </c>
      <c r="J172" s="184" t="s">
        <v>878</v>
      </c>
      <c r="K172" s="184" t="s">
        <v>879</v>
      </c>
      <c r="L172" s="184">
        <v>7.2</v>
      </c>
      <c r="M172" s="100">
        <v>0.0</v>
      </c>
      <c r="N172" s="326">
        <v>1150.63</v>
      </c>
      <c r="O172" s="113">
        <v>1.0E9</v>
      </c>
      <c r="P172" s="113">
        <v>1.01712933E8</v>
      </c>
      <c r="Q172" s="188">
        <f t="shared" si="2"/>
        <v>1101712933</v>
      </c>
      <c r="R172" s="114">
        <v>0.0</v>
      </c>
      <c r="S172" s="189">
        <v>0.0</v>
      </c>
      <c r="T172" s="190">
        <f t="shared" si="3"/>
        <v>1101712933</v>
      </c>
      <c r="U172" s="221" t="s">
        <v>220</v>
      </c>
      <c r="V172" s="221" t="s">
        <v>220</v>
      </c>
      <c r="W172" s="323"/>
      <c r="X172" s="193">
        <v>45112.0</v>
      </c>
      <c r="Y172" s="193">
        <v>45296.0</v>
      </c>
      <c r="Z172" s="194">
        <v>0.0</v>
      </c>
      <c r="AA172" s="194">
        <v>0.0</v>
      </c>
      <c r="AB172" s="193">
        <v>45296.0</v>
      </c>
      <c r="AC172" s="66">
        <f t="shared" si="4"/>
        <v>-991</v>
      </c>
      <c r="AD172" s="55"/>
      <c r="AE172" s="55"/>
      <c r="AF172" s="55"/>
      <c r="AG172" s="55"/>
      <c r="AH172" s="86">
        <f t="shared" si="40"/>
        <v>0</v>
      </c>
      <c r="AI172" s="223">
        <v>0.0</v>
      </c>
      <c r="AJ172" s="326"/>
      <c r="AK172" s="326"/>
      <c r="AL172" s="326"/>
      <c r="AM172" s="326"/>
      <c r="AN172" s="326"/>
      <c r="AO172" s="326">
        <v>0.0</v>
      </c>
      <c r="AP172" s="178">
        <v>0.0</v>
      </c>
      <c r="AQ172" s="326">
        <f t="shared" si="57"/>
        <v>1150.63</v>
      </c>
      <c r="AR172" s="113">
        <f t="shared" si="58"/>
        <v>1000000000</v>
      </c>
      <c r="AS172" s="113">
        <f t="shared" si="52"/>
        <v>1000000000</v>
      </c>
      <c r="AT172" s="224">
        <f t="shared" si="53"/>
        <v>1</v>
      </c>
      <c r="AU172" s="224">
        <f t="shared" si="23"/>
        <v>1</v>
      </c>
      <c r="AV172" s="184" t="s">
        <v>880</v>
      </c>
      <c r="AW172" s="74"/>
      <c r="AX172" s="214"/>
      <c r="AY172" s="74"/>
      <c r="AZ172" s="76"/>
      <c r="BA172" s="76"/>
      <c r="BB172" s="76"/>
      <c r="BC172" s="77"/>
      <c r="BD172" s="210" t="s">
        <v>67</v>
      </c>
      <c r="BE172" s="117"/>
      <c r="BF172" s="199"/>
      <c r="BG172" s="199"/>
      <c r="BH172" s="199"/>
    </row>
    <row r="173" ht="104.25" customHeight="1">
      <c r="A173" s="21">
        <v>172.0</v>
      </c>
      <c r="B173" s="22">
        <v>2023.0</v>
      </c>
      <c r="C173" s="23" t="s">
        <v>846</v>
      </c>
      <c r="D173" s="24" t="s">
        <v>324</v>
      </c>
      <c r="E173" s="23" t="s">
        <v>59</v>
      </c>
      <c r="F173" s="25">
        <v>4.600016156E9</v>
      </c>
      <c r="G173" s="23" t="s">
        <v>606</v>
      </c>
      <c r="H173" s="23" t="str">
        <f t="shared" si="54"/>
        <v>BETULIA</v>
      </c>
      <c r="I173" s="23" t="s">
        <v>78</v>
      </c>
      <c r="J173" s="23" t="s">
        <v>881</v>
      </c>
      <c r="K173" s="23" t="s">
        <v>882</v>
      </c>
      <c r="L173" s="23">
        <v>6.0</v>
      </c>
      <c r="M173" s="173">
        <v>0.0</v>
      </c>
      <c r="N173" s="331">
        <v>736.0</v>
      </c>
      <c r="O173" s="82">
        <v>9.30445114E8</v>
      </c>
      <c r="P173" s="82">
        <v>1.0E7</v>
      </c>
      <c r="Q173" s="163">
        <f t="shared" si="2"/>
        <v>940445114</v>
      </c>
      <c r="R173" s="135">
        <v>0.0</v>
      </c>
      <c r="S173" s="164">
        <v>0.0</v>
      </c>
      <c r="T173" s="165">
        <f t="shared" si="3"/>
        <v>940445114</v>
      </c>
      <c r="U173" s="83" t="s">
        <v>64</v>
      </c>
      <c r="V173" s="83" t="s">
        <v>64</v>
      </c>
      <c r="W173" s="292"/>
      <c r="X173" s="176">
        <v>45125.0</v>
      </c>
      <c r="Y173" s="176">
        <v>45309.0</v>
      </c>
      <c r="Z173" s="177">
        <v>4.0</v>
      </c>
      <c r="AA173" s="177">
        <v>1.0</v>
      </c>
      <c r="AB173" s="176">
        <v>45460.0</v>
      </c>
      <c r="AC173" s="38">
        <f t="shared" si="4"/>
        <v>-827</v>
      </c>
      <c r="AD173" s="27"/>
      <c r="AE173" s="27"/>
      <c r="AF173" s="27"/>
      <c r="AG173" s="27"/>
      <c r="AH173" s="86">
        <f t="shared" si="40"/>
        <v>0</v>
      </c>
      <c r="AI173" s="223">
        <v>0.0</v>
      </c>
      <c r="AJ173" s="331"/>
      <c r="AK173" s="331"/>
      <c r="AL173" s="331"/>
      <c r="AM173" s="331"/>
      <c r="AN173" s="331"/>
      <c r="AO173" s="331">
        <v>427.0</v>
      </c>
      <c r="AP173" s="178">
        <v>0.0</v>
      </c>
      <c r="AQ173" s="331">
        <f t="shared" si="57"/>
        <v>736</v>
      </c>
      <c r="AR173" s="82">
        <f t="shared" si="58"/>
        <v>930445114</v>
      </c>
      <c r="AS173" s="82">
        <f t="shared" si="52"/>
        <v>930445114</v>
      </c>
      <c r="AT173" s="228">
        <f t="shared" si="53"/>
        <v>1</v>
      </c>
      <c r="AU173" s="228">
        <f t="shared" si="23"/>
        <v>1</v>
      </c>
      <c r="AV173" s="23" t="s">
        <v>883</v>
      </c>
      <c r="AW173" s="91"/>
      <c r="AX173" s="182"/>
      <c r="AY173" s="91"/>
      <c r="AZ173" s="92"/>
      <c r="BA173" s="92"/>
      <c r="BB173" s="92"/>
      <c r="BC173" s="46"/>
      <c r="BD173" s="44" t="s">
        <v>67</v>
      </c>
      <c r="BE173" s="47"/>
      <c r="BF173" s="99"/>
      <c r="BG173" s="99"/>
      <c r="BH173" s="99"/>
    </row>
    <row r="174" ht="104.25" customHeight="1">
      <c r="A174" s="50">
        <v>173.0</v>
      </c>
      <c r="B174" s="51">
        <v>2023.0</v>
      </c>
      <c r="C174" s="184" t="s">
        <v>846</v>
      </c>
      <c r="D174" s="52" t="s">
        <v>816</v>
      </c>
      <c r="E174" s="184" t="s">
        <v>59</v>
      </c>
      <c r="F174" s="53">
        <v>4.600015692E9</v>
      </c>
      <c r="G174" s="184" t="s">
        <v>884</v>
      </c>
      <c r="H174" s="184" t="str">
        <f t="shared" si="54"/>
        <v>LA CEJA</v>
      </c>
      <c r="I174" s="184" t="s">
        <v>120</v>
      </c>
      <c r="J174" s="184" t="s">
        <v>885</v>
      </c>
      <c r="K174" s="184" t="s">
        <v>886</v>
      </c>
      <c r="L174" s="184">
        <v>5.5</v>
      </c>
      <c r="M174" s="100">
        <v>0.0</v>
      </c>
      <c r="N174" s="326">
        <v>1.0</v>
      </c>
      <c r="O174" s="113">
        <v>3.945901822E9</v>
      </c>
      <c r="P174" s="113">
        <v>8.54098178E8</v>
      </c>
      <c r="Q174" s="188">
        <f t="shared" si="2"/>
        <v>4800000000</v>
      </c>
      <c r="R174" s="189">
        <v>0.0</v>
      </c>
      <c r="S174" s="189">
        <v>0.0</v>
      </c>
      <c r="T174" s="190">
        <f t="shared" si="3"/>
        <v>4800000000</v>
      </c>
      <c r="U174" s="221" t="s">
        <v>64</v>
      </c>
      <c r="V174" s="221" t="s">
        <v>64</v>
      </c>
      <c r="W174" s="323"/>
      <c r="X174" s="193">
        <v>45103.0</v>
      </c>
      <c r="Y174" s="193">
        <v>45256.0</v>
      </c>
      <c r="Z174" s="194">
        <v>6.1</v>
      </c>
      <c r="AA174" s="194">
        <v>10.3</v>
      </c>
      <c r="AB174" s="193">
        <v>45764.0</v>
      </c>
      <c r="AC174" s="66">
        <f t="shared" si="4"/>
        <v>-523</v>
      </c>
      <c r="AD174" s="55"/>
      <c r="AE174" s="55"/>
      <c r="AF174" s="55"/>
      <c r="AG174" s="55"/>
      <c r="AH174" s="86">
        <f t="shared" si="40"/>
        <v>0</v>
      </c>
      <c r="AI174" s="223">
        <v>0.0</v>
      </c>
      <c r="AJ174" s="327"/>
      <c r="AK174" s="327"/>
      <c r="AL174" s="327"/>
      <c r="AM174" s="327"/>
      <c r="AN174" s="327"/>
      <c r="AO174" s="327">
        <v>1.0</v>
      </c>
      <c r="AP174" s="178">
        <v>0.0</v>
      </c>
      <c r="AQ174" s="327">
        <v>1.0</v>
      </c>
      <c r="AR174" s="113">
        <f>O174</f>
        <v>3945901822</v>
      </c>
      <c r="AS174" s="113">
        <f t="shared" si="52"/>
        <v>3945901822</v>
      </c>
      <c r="AT174" s="224">
        <f t="shared" si="53"/>
        <v>1</v>
      </c>
      <c r="AU174" s="224">
        <f t="shared" si="23"/>
        <v>1</v>
      </c>
      <c r="AV174" s="184" t="s">
        <v>887</v>
      </c>
      <c r="AW174" s="74"/>
      <c r="AX174" s="214"/>
      <c r="AY174" s="74"/>
      <c r="AZ174" s="76"/>
      <c r="BA174" s="76"/>
      <c r="BB174" s="76"/>
      <c r="BC174" s="77"/>
      <c r="BD174" s="210" t="s">
        <v>67</v>
      </c>
      <c r="BE174" s="117"/>
      <c r="BF174" s="199"/>
      <c r="BG174" s="199"/>
      <c r="BH174" s="199"/>
    </row>
    <row r="175" ht="104.25" customHeight="1">
      <c r="A175" s="50">
        <v>174.0</v>
      </c>
      <c r="B175" s="51">
        <v>2023.0</v>
      </c>
      <c r="C175" s="184" t="s">
        <v>888</v>
      </c>
      <c r="D175" s="52" t="s">
        <v>324</v>
      </c>
      <c r="E175" s="184" t="s">
        <v>59</v>
      </c>
      <c r="F175" s="53">
        <v>4.600016195E9</v>
      </c>
      <c r="G175" s="184" t="s">
        <v>540</v>
      </c>
      <c r="H175" s="184" t="str">
        <f t="shared" si="54"/>
        <v>CAICEDO</v>
      </c>
      <c r="I175" s="184" t="s">
        <v>127</v>
      </c>
      <c r="J175" s="184" t="s">
        <v>889</v>
      </c>
      <c r="K175" s="184" t="s">
        <v>890</v>
      </c>
      <c r="L175" s="184">
        <v>10.5</v>
      </c>
      <c r="M175" s="100">
        <v>0.0</v>
      </c>
      <c r="N175" s="326">
        <v>636.98</v>
      </c>
      <c r="O175" s="113">
        <v>2.782512541E9</v>
      </c>
      <c r="P175" s="113">
        <v>1.3982475E7</v>
      </c>
      <c r="Q175" s="188">
        <f t="shared" si="2"/>
        <v>2796495016</v>
      </c>
      <c r="R175" s="114">
        <v>0.0</v>
      </c>
      <c r="S175" s="189">
        <v>0.0</v>
      </c>
      <c r="T175" s="190">
        <f t="shared" si="3"/>
        <v>2796495016</v>
      </c>
      <c r="U175" s="221" t="s">
        <v>64</v>
      </c>
      <c r="V175" s="221" t="s">
        <v>64</v>
      </c>
      <c r="W175" s="323"/>
      <c r="X175" s="193">
        <v>45125.0</v>
      </c>
      <c r="Y175" s="193">
        <v>45415.0</v>
      </c>
      <c r="Z175" s="194">
        <v>11.0</v>
      </c>
      <c r="AA175" s="194">
        <v>2.9</v>
      </c>
      <c r="AB175" s="193">
        <v>45826.0</v>
      </c>
      <c r="AC175" s="66">
        <f t="shared" si="4"/>
        <v>-461</v>
      </c>
      <c r="AD175" s="55"/>
      <c r="AE175" s="55"/>
      <c r="AF175" s="55"/>
      <c r="AG175" s="55"/>
      <c r="AH175" s="86">
        <f t="shared" si="40"/>
        <v>0</v>
      </c>
      <c r="AI175" s="223">
        <v>0.0</v>
      </c>
      <c r="AJ175" s="326"/>
      <c r="AK175" s="326"/>
      <c r="AL175" s="326"/>
      <c r="AM175" s="326"/>
      <c r="AN175" s="326"/>
      <c r="AO175" s="326">
        <v>636.98</v>
      </c>
      <c r="AP175" s="178">
        <v>0.0</v>
      </c>
      <c r="AQ175" s="326">
        <f t="shared" ref="AQ175:AQ177" si="59">N175</f>
        <v>636.98</v>
      </c>
      <c r="AR175" s="113">
        <f t="shared" ref="AR175:AR177" si="60">O175+R175</f>
        <v>2782512541</v>
      </c>
      <c r="AS175" s="113">
        <f t="shared" si="52"/>
        <v>2782512541</v>
      </c>
      <c r="AT175" s="224">
        <f t="shared" si="53"/>
        <v>1</v>
      </c>
      <c r="AU175" s="224">
        <f t="shared" si="23"/>
        <v>1</v>
      </c>
      <c r="AV175" s="118" t="s">
        <v>891</v>
      </c>
      <c r="AW175" s="74"/>
      <c r="AX175" s="214"/>
      <c r="AY175" s="74"/>
      <c r="AZ175" s="76"/>
      <c r="BA175" s="76"/>
      <c r="BB175" s="76"/>
      <c r="BC175" s="77"/>
      <c r="BD175" s="210" t="s">
        <v>67</v>
      </c>
      <c r="BE175" s="117"/>
      <c r="BF175" s="199"/>
      <c r="BG175" s="199"/>
      <c r="BH175" s="199"/>
    </row>
    <row r="176" ht="104.25" customHeight="1">
      <c r="A176" s="21">
        <v>175.0</v>
      </c>
      <c r="B176" s="22">
        <v>2023.0</v>
      </c>
      <c r="C176" s="23" t="s">
        <v>846</v>
      </c>
      <c r="D176" s="24" t="s">
        <v>324</v>
      </c>
      <c r="E176" s="23" t="s">
        <v>59</v>
      </c>
      <c r="F176" s="25">
        <v>4.600015807E9</v>
      </c>
      <c r="G176" s="23" t="s">
        <v>103</v>
      </c>
      <c r="H176" s="23" t="str">
        <f t="shared" si="54"/>
        <v>VEGACHÍ</v>
      </c>
      <c r="I176" s="23" t="s">
        <v>104</v>
      </c>
      <c r="J176" s="23" t="s">
        <v>892</v>
      </c>
      <c r="K176" s="23" t="s">
        <v>893</v>
      </c>
      <c r="L176" s="23">
        <v>9.9</v>
      </c>
      <c r="M176" s="173">
        <v>0.0</v>
      </c>
      <c r="N176" s="331">
        <v>5902.86</v>
      </c>
      <c r="O176" s="82">
        <v>3.0E9</v>
      </c>
      <c r="P176" s="82">
        <v>8.58466562E8</v>
      </c>
      <c r="Q176" s="163">
        <f t="shared" si="2"/>
        <v>3858466562</v>
      </c>
      <c r="R176" s="135">
        <v>5.0E8</v>
      </c>
      <c r="S176" s="135">
        <v>2.16614739E8</v>
      </c>
      <c r="T176" s="165">
        <f t="shared" si="3"/>
        <v>4575081301</v>
      </c>
      <c r="U176" s="83" t="s">
        <v>64</v>
      </c>
      <c r="V176" s="83" t="s">
        <v>64</v>
      </c>
      <c r="W176" s="292"/>
      <c r="X176" s="176">
        <v>45104.0</v>
      </c>
      <c r="Y176" s="176">
        <v>45409.0</v>
      </c>
      <c r="Z176" s="177">
        <v>5.0</v>
      </c>
      <c r="AA176" s="177">
        <v>7.3</v>
      </c>
      <c r="AB176" s="176">
        <v>45778.0</v>
      </c>
      <c r="AC176" s="38">
        <f t="shared" si="4"/>
        <v>-509</v>
      </c>
      <c r="AD176" s="27"/>
      <c r="AE176" s="27"/>
      <c r="AF176" s="27"/>
      <c r="AG176" s="27"/>
      <c r="AH176" s="86">
        <f t="shared" si="40"/>
        <v>0</v>
      </c>
      <c r="AI176" s="223">
        <v>0.0</v>
      </c>
      <c r="AJ176" s="331"/>
      <c r="AK176" s="331"/>
      <c r="AL176" s="331"/>
      <c r="AM176" s="331"/>
      <c r="AN176" s="331"/>
      <c r="AO176" s="331">
        <v>3483.0</v>
      </c>
      <c r="AP176" s="178">
        <v>0.0</v>
      </c>
      <c r="AQ176" s="331">
        <f t="shared" si="59"/>
        <v>5902.86</v>
      </c>
      <c r="AR176" s="82">
        <f t="shared" si="60"/>
        <v>3500000000</v>
      </c>
      <c r="AS176" s="82">
        <f t="shared" si="52"/>
        <v>3500000000</v>
      </c>
      <c r="AT176" s="228">
        <f t="shared" si="53"/>
        <v>1</v>
      </c>
      <c r="AU176" s="228">
        <f t="shared" si="23"/>
        <v>1</v>
      </c>
      <c r="AV176" s="23" t="s">
        <v>894</v>
      </c>
      <c r="AW176" s="91"/>
      <c r="AX176" s="182"/>
      <c r="AY176" s="91"/>
      <c r="AZ176" s="92"/>
      <c r="BA176" s="92"/>
      <c r="BB176" s="92"/>
      <c r="BC176" s="46"/>
      <c r="BD176" s="44" t="s">
        <v>67</v>
      </c>
      <c r="BE176" s="47"/>
      <c r="BF176" s="99"/>
      <c r="BG176" s="99"/>
      <c r="BH176" s="99"/>
    </row>
    <row r="177" ht="104.25" customHeight="1">
      <c r="A177" s="50">
        <v>176.0</v>
      </c>
      <c r="B177" s="51">
        <v>2023.0</v>
      </c>
      <c r="C177" s="184" t="s">
        <v>846</v>
      </c>
      <c r="D177" s="52" t="s">
        <v>324</v>
      </c>
      <c r="E177" s="184" t="s">
        <v>59</v>
      </c>
      <c r="F177" s="53">
        <v>4.600015577E9</v>
      </c>
      <c r="G177" s="184" t="s">
        <v>895</v>
      </c>
      <c r="H177" s="184" t="str">
        <f t="shared" si="54"/>
        <v>CHIGORODÓ</v>
      </c>
      <c r="I177" s="184" t="s">
        <v>61</v>
      </c>
      <c r="J177" s="184" t="s">
        <v>896</v>
      </c>
      <c r="K177" s="184" t="s">
        <v>897</v>
      </c>
      <c r="L177" s="184">
        <v>17.3</v>
      </c>
      <c r="M177" s="100">
        <v>0.0</v>
      </c>
      <c r="N177" s="326">
        <v>1065.0</v>
      </c>
      <c r="O177" s="113">
        <v>9.36284815E8</v>
      </c>
      <c r="P177" s="113">
        <v>7.0E7</v>
      </c>
      <c r="Q177" s="188">
        <f t="shared" si="2"/>
        <v>1006284815</v>
      </c>
      <c r="R177" s="114"/>
      <c r="S177" s="114"/>
      <c r="T177" s="190">
        <f t="shared" si="3"/>
        <v>1006284815</v>
      </c>
      <c r="U177" s="221" t="s">
        <v>64</v>
      </c>
      <c r="V177" s="221" t="s">
        <v>64</v>
      </c>
      <c r="W177" s="323"/>
      <c r="X177" s="193">
        <v>45085.0</v>
      </c>
      <c r="Y177" s="193">
        <v>45604.0</v>
      </c>
      <c r="Z177" s="194">
        <v>15.0</v>
      </c>
      <c r="AA177" s="194">
        <v>2.2</v>
      </c>
      <c r="AB177" s="193">
        <v>46134.0</v>
      </c>
      <c r="AC177" s="66">
        <f t="shared" si="4"/>
        <v>-153</v>
      </c>
      <c r="AD177" s="55"/>
      <c r="AE177" s="55"/>
      <c r="AF177" s="55"/>
      <c r="AG177" s="55"/>
      <c r="AH177" s="86">
        <f t="shared" si="40"/>
        <v>0</v>
      </c>
      <c r="AI177" s="223">
        <v>0.0</v>
      </c>
      <c r="AJ177" s="326"/>
      <c r="AK177" s="326"/>
      <c r="AL177" s="326"/>
      <c r="AM177" s="326"/>
      <c r="AN177" s="326"/>
      <c r="AO177" s="326">
        <v>1065.0</v>
      </c>
      <c r="AP177" s="178">
        <v>0.0</v>
      </c>
      <c r="AQ177" s="326">
        <f t="shared" si="59"/>
        <v>1065</v>
      </c>
      <c r="AR177" s="113">
        <f t="shared" si="60"/>
        <v>936284815</v>
      </c>
      <c r="AS177" s="113">
        <f t="shared" si="52"/>
        <v>936284815</v>
      </c>
      <c r="AT177" s="224">
        <f t="shared" si="53"/>
        <v>1</v>
      </c>
      <c r="AU177" s="224">
        <f t="shared" si="23"/>
        <v>1</v>
      </c>
      <c r="AV177" s="364" t="s">
        <v>898</v>
      </c>
      <c r="AW177" s="74"/>
      <c r="AX177" s="214"/>
      <c r="AY177" s="74"/>
      <c r="AZ177" s="76"/>
      <c r="BA177" s="76"/>
      <c r="BB177" s="76"/>
      <c r="BC177" s="77"/>
      <c r="BD177" s="210" t="s">
        <v>67</v>
      </c>
      <c r="BE177" s="117"/>
      <c r="BF177" s="199"/>
      <c r="BG177" s="199"/>
      <c r="BH177" s="199"/>
    </row>
    <row r="178" ht="89.25" customHeight="1">
      <c r="A178" s="21">
        <v>177.0</v>
      </c>
      <c r="B178" s="28">
        <v>2024.0</v>
      </c>
      <c r="C178" s="23" t="s">
        <v>428</v>
      </c>
      <c r="D178" s="80" t="s">
        <v>74</v>
      </c>
      <c r="E178" s="23" t="s">
        <v>429</v>
      </c>
      <c r="F178" s="25" t="s">
        <v>899</v>
      </c>
      <c r="G178" s="23" t="s">
        <v>728</v>
      </c>
      <c r="H178" s="23" t="s">
        <v>432</v>
      </c>
      <c r="I178" s="23" t="s">
        <v>104</v>
      </c>
      <c r="J178" s="23" t="s">
        <v>433</v>
      </c>
      <c r="K178" s="23" t="s">
        <v>900</v>
      </c>
      <c r="L178" s="23">
        <v>8.0</v>
      </c>
      <c r="M178" s="173">
        <v>1000.0</v>
      </c>
      <c r="N178" s="162">
        <v>0.0</v>
      </c>
      <c r="O178" s="82">
        <v>2.25114245E8</v>
      </c>
      <c r="P178" s="82">
        <f>280000000+200560000+62915002</f>
        <v>543475002</v>
      </c>
      <c r="Q178" s="163">
        <f t="shared" si="2"/>
        <v>768589247</v>
      </c>
      <c r="R178" s="164">
        <v>0.0</v>
      </c>
      <c r="S178" s="164">
        <v>0.0</v>
      </c>
      <c r="T178" s="165">
        <f t="shared" si="3"/>
        <v>768589247</v>
      </c>
      <c r="U178" s="83" t="s">
        <v>64</v>
      </c>
      <c r="V178" s="83" t="s">
        <v>64</v>
      </c>
      <c r="W178" s="175"/>
      <c r="X178" s="176">
        <v>45653.0</v>
      </c>
      <c r="Y178" s="176">
        <v>45991.0</v>
      </c>
      <c r="Z178" s="177">
        <v>4.0</v>
      </c>
      <c r="AA178" s="170">
        <v>0.0</v>
      </c>
      <c r="AB178" s="176">
        <v>46111.0</v>
      </c>
      <c r="AC178" s="38">
        <f t="shared" si="4"/>
        <v>-176</v>
      </c>
      <c r="AD178" s="27"/>
      <c r="AE178" s="27"/>
      <c r="AF178" s="27">
        <v>1000.0</v>
      </c>
      <c r="AG178" s="27"/>
      <c r="AH178" s="95">
        <f t="shared" si="40"/>
        <v>1000</v>
      </c>
      <c r="AI178" s="87">
        <v>1000.0</v>
      </c>
      <c r="AJ178" s="88">
        <f t="shared" ref="AJ178:AJ200" si="61">AH178-AI178</f>
        <v>0</v>
      </c>
      <c r="AK178" s="162"/>
      <c r="AL178" s="162"/>
      <c r="AM178" s="162"/>
      <c r="AN178" s="162"/>
      <c r="AO178" s="162">
        <v>0.0</v>
      </c>
      <c r="AP178" s="178">
        <v>1000.0</v>
      </c>
      <c r="AQ178" s="162">
        <v>0.0</v>
      </c>
      <c r="AR178" s="82">
        <f t="shared" ref="AR178:AR181" si="62">O178</f>
        <v>225114245</v>
      </c>
      <c r="AS178" s="82">
        <v>1.9840339E8</v>
      </c>
      <c r="AT178" s="171">
        <f t="shared" ref="AT178:AT278" si="63">AP178/M178</f>
        <v>1</v>
      </c>
      <c r="AU178" s="171">
        <f t="shared" si="23"/>
        <v>0.8813453365</v>
      </c>
      <c r="AV178" s="235" t="s">
        <v>901</v>
      </c>
      <c r="AW178" s="91"/>
      <c r="AX178" s="43"/>
      <c r="AY178" s="91"/>
      <c r="AZ178" s="92"/>
      <c r="BA178" s="92"/>
      <c r="BB178" s="92"/>
      <c r="BC178" s="102"/>
      <c r="BD178" s="92"/>
      <c r="BE178" s="92"/>
      <c r="BF178" s="93"/>
      <c r="BG178" s="93"/>
      <c r="BH178" s="93"/>
    </row>
    <row r="179" ht="89.25" customHeight="1">
      <c r="A179" s="21">
        <v>178.0</v>
      </c>
      <c r="B179" s="28">
        <v>2024.0</v>
      </c>
      <c r="C179" s="23" t="s">
        <v>428</v>
      </c>
      <c r="D179" s="80" t="s">
        <v>74</v>
      </c>
      <c r="E179" s="23" t="s">
        <v>429</v>
      </c>
      <c r="F179" s="25" t="s">
        <v>902</v>
      </c>
      <c r="G179" s="23" t="s">
        <v>592</v>
      </c>
      <c r="H179" s="23" t="s">
        <v>432</v>
      </c>
      <c r="I179" s="23" t="s">
        <v>174</v>
      </c>
      <c r="J179" s="23" t="s">
        <v>433</v>
      </c>
      <c r="K179" s="23"/>
      <c r="L179" s="23">
        <v>8.0</v>
      </c>
      <c r="M179" s="173">
        <v>1000.0</v>
      </c>
      <c r="N179" s="162">
        <v>0.0</v>
      </c>
      <c r="O179" s="82">
        <v>2.57866703E8</v>
      </c>
      <c r="P179" s="82">
        <f>350000000+225000000+57554673</f>
        <v>632554673</v>
      </c>
      <c r="Q179" s="163">
        <f t="shared" si="2"/>
        <v>890421376</v>
      </c>
      <c r="R179" s="164">
        <v>0.0</v>
      </c>
      <c r="S179" s="164">
        <v>0.0</v>
      </c>
      <c r="T179" s="165">
        <f t="shared" si="3"/>
        <v>890421376</v>
      </c>
      <c r="U179" s="83" t="s">
        <v>64</v>
      </c>
      <c r="V179" s="83" t="s">
        <v>64</v>
      </c>
      <c r="W179" s="175"/>
      <c r="X179" s="176">
        <v>45653.0</v>
      </c>
      <c r="Y179" s="176">
        <v>45991.0</v>
      </c>
      <c r="Z179" s="177">
        <v>4.0</v>
      </c>
      <c r="AA179" s="170">
        <v>0.0</v>
      </c>
      <c r="AB179" s="176">
        <v>46111.0</v>
      </c>
      <c r="AC179" s="38">
        <f t="shared" si="4"/>
        <v>-176</v>
      </c>
      <c r="AD179" s="27"/>
      <c r="AE179" s="27"/>
      <c r="AF179" s="27">
        <v>1000.0</v>
      </c>
      <c r="AG179" s="27"/>
      <c r="AH179" s="95">
        <f t="shared" si="40"/>
        <v>1000</v>
      </c>
      <c r="AI179" s="87">
        <v>1000.0</v>
      </c>
      <c r="AJ179" s="88">
        <f t="shared" si="61"/>
        <v>0</v>
      </c>
      <c r="AK179" s="162"/>
      <c r="AL179" s="162"/>
      <c r="AM179" s="162"/>
      <c r="AN179" s="162"/>
      <c r="AO179" s="162">
        <v>0.0</v>
      </c>
      <c r="AP179" s="178">
        <v>1000.0</v>
      </c>
      <c r="AQ179" s="162">
        <v>0.0</v>
      </c>
      <c r="AR179" s="82">
        <f t="shared" si="62"/>
        <v>257866703</v>
      </c>
      <c r="AS179" s="82">
        <v>2.27967713E8</v>
      </c>
      <c r="AT179" s="171">
        <f t="shared" si="63"/>
        <v>1</v>
      </c>
      <c r="AU179" s="171">
        <f t="shared" si="23"/>
        <v>0.884052537</v>
      </c>
      <c r="AV179" s="23" t="s">
        <v>903</v>
      </c>
      <c r="AW179" s="91"/>
      <c r="AX179" s="43"/>
      <c r="AY179" s="91"/>
      <c r="AZ179" s="92"/>
      <c r="BA179" s="92"/>
      <c r="BB179" s="92"/>
      <c r="BC179" s="102"/>
      <c r="BD179" s="92"/>
      <c r="BE179" s="92"/>
      <c r="BF179" s="93"/>
      <c r="BG179" s="93"/>
      <c r="BH179" s="93"/>
    </row>
    <row r="180" ht="89.25" customHeight="1">
      <c r="A180" s="21">
        <v>179.0</v>
      </c>
      <c r="B180" s="28">
        <v>2024.0</v>
      </c>
      <c r="C180" s="23" t="s">
        <v>428</v>
      </c>
      <c r="D180" s="80" t="s">
        <v>74</v>
      </c>
      <c r="E180" s="23" t="s">
        <v>429</v>
      </c>
      <c r="F180" s="25" t="s">
        <v>904</v>
      </c>
      <c r="G180" s="23" t="s">
        <v>540</v>
      </c>
      <c r="H180" s="23" t="s">
        <v>432</v>
      </c>
      <c r="I180" s="23" t="s">
        <v>127</v>
      </c>
      <c r="J180" s="23" t="s">
        <v>433</v>
      </c>
      <c r="K180" s="23"/>
      <c r="L180" s="23">
        <v>8.0</v>
      </c>
      <c r="M180" s="173">
        <v>1000.0</v>
      </c>
      <c r="N180" s="162">
        <v>0.0</v>
      </c>
      <c r="O180" s="82">
        <v>2.98300212E8</v>
      </c>
      <c r="P180" s="82">
        <f>240000000+65566923+372007738</f>
        <v>677574661</v>
      </c>
      <c r="Q180" s="163">
        <f t="shared" si="2"/>
        <v>975874873</v>
      </c>
      <c r="R180" s="164">
        <v>0.0</v>
      </c>
      <c r="S180" s="164">
        <v>0.0</v>
      </c>
      <c r="T180" s="165">
        <f t="shared" si="3"/>
        <v>975874873</v>
      </c>
      <c r="U180" s="83" t="s">
        <v>64</v>
      </c>
      <c r="V180" s="83" t="s">
        <v>64</v>
      </c>
      <c r="W180" s="175"/>
      <c r="X180" s="176">
        <v>45653.0</v>
      </c>
      <c r="Y180" s="176">
        <v>45991.0</v>
      </c>
      <c r="Z180" s="177">
        <v>4.0</v>
      </c>
      <c r="AA180" s="170">
        <v>0.0</v>
      </c>
      <c r="AB180" s="176">
        <v>46111.0</v>
      </c>
      <c r="AC180" s="38">
        <f t="shared" si="4"/>
        <v>-176</v>
      </c>
      <c r="AD180" s="27"/>
      <c r="AE180" s="27"/>
      <c r="AF180" s="27">
        <v>1000.0</v>
      </c>
      <c r="AG180" s="27"/>
      <c r="AH180" s="95">
        <f t="shared" si="40"/>
        <v>1000</v>
      </c>
      <c r="AI180" s="87">
        <v>1000.0</v>
      </c>
      <c r="AJ180" s="88">
        <f t="shared" si="61"/>
        <v>0</v>
      </c>
      <c r="AK180" s="162"/>
      <c r="AL180" s="162"/>
      <c r="AM180" s="162"/>
      <c r="AN180" s="162"/>
      <c r="AO180" s="162">
        <v>0.0</v>
      </c>
      <c r="AP180" s="178">
        <v>1000.0</v>
      </c>
      <c r="AQ180" s="162">
        <v>0.0</v>
      </c>
      <c r="AR180" s="82">
        <f t="shared" si="62"/>
        <v>298300212</v>
      </c>
      <c r="AS180" s="82">
        <v>2.63675291E8</v>
      </c>
      <c r="AT180" s="171">
        <f t="shared" si="63"/>
        <v>1</v>
      </c>
      <c r="AU180" s="171">
        <f t="shared" si="23"/>
        <v>0.8839259256</v>
      </c>
      <c r="AV180" s="23" t="s">
        <v>905</v>
      </c>
      <c r="AW180" s="91"/>
      <c r="AX180" s="43"/>
      <c r="AY180" s="91"/>
      <c r="AZ180" s="92"/>
      <c r="BA180" s="92"/>
      <c r="BB180" s="92"/>
      <c r="BC180" s="102"/>
      <c r="BD180" s="92"/>
      <c r="BE180" s="92"/>
      <c r="BF180" s="93"/>
      <c r="BG180" s="93"/>
      <c r="BH180" s="93"/>
    </row>
    <row r="181" ht="89.25" customHeight="1">
      <c r="A181" s="21">
        <v>180.0</v>
      </c>
      <c r="B181" s="28">
        <v>2024.0</v>
      </c>
      <c r="C181" s="23" t="s">
        <v>428</v>
      </c>
      <c r="D181" s="80" t="s">
        <v>74</v>
      </c>
      <c r="E181" s="23" t="s">
        <v>429</v>
      </c>
      <c r="F181" s="25" t="s">
        <v>906</v>
      </c>
      <c r="G181" s="23" t="s">
        <v>557</v>
      </c>
      <c r="H181" s="23" t="s">
        <v>432</v>
      </c>
      <c r="I181" s="23" t="s">
        <v>78</v>
      </c>
      <c r="J181" s="23" t="s">
        <v>433</v>
      </c>
      <c r="K181" s="23"/>
      <c r="L181" s="23">
        <v>8.0</v>
      </c>
      <c r="M181" s="173">
        <v>1000.0</v>
      </c>
      <c r="N181" s="162">
        <v>0.0</v>
      </c>
      <c r="O181" s="82">
        <v>2.6348648E8</v>
      </c>
      <c r="P181" s="82">
        <f>225000000+59322579+314312955</f>
        <v>598635534</v>
      </c>
      <c r="Q181" s="163">
        <f t="shared" si="2"/>
        <v>862122014</v>
      </c>
      <c r="R181" s="164">
        <v>0.0</v>
      </c>
      <c r="S181" s="164">
        <v>0.0</v>
      </c>
      <c r="T181" s="165">
        <f t="shared" si="3"/>
        <v>862122014</v>
      </c>
      <c r="U181" s="83" t="s">
        <v>64</v>
      </c>
      <c r="V181" s="83" t="s">
        <v>64</v>
      </c>
      <c r="W181" s="175"/>
      <c r="X181" s="176">
        <v>45653.0</v>
      </c>
      <c r="Y181" s="176">
        <v>45991.0</v>
      </c>
      <c r="Z181" s="177">
        <v>4.0</v>
      </c>
      <c r="AA181" s="170">
        <v>0.0</v>
      </c>
      <c r="AB181" s="176">
        <v>46111.0</v>
      </c>
      <c r="AC181" s="38">
        <f t="shared" si="4"/>
        <v>-176</v>
      </c>
      <c r="AD181" s="27"/>
      <c r="AE181" s="27"/>
      <c r="AF181" s="27">
        <v>1000.0</v>
      </c>
      <c r="AG181" s="27"/>
      <c r="AH181" s="95">
        <f t="shared" si="40"/>
        <v>1000</v>
      </c>
      <c r="AI181" s="87">
        <v>1000.0</v>
      </c>
      <c r="AJ181" s="88">
        <f t="shared" si="61"/>
        <v>0</v>
      </c>
      <c r="AK181" s="162"/>
      <c r="AL181" s="162"/>
      <c r="AM181" s="162"/>
      <c r="AN181" s="162"/>
      <c r="AO181" s="162">
        <v>0.0</v>
      </c>
      <c r="AP181" s="178">
        <v>1000.0</v>
      </c>
      <c r="AQ181" s="162">
        <v>0.0</v>
      </c>
      <c r="AR181" s="82">
        <f t="shared" si="62"/>
        <v>263486480</v>
      </c>
      <c r="AS181" s="82">
        <v>2.32108905E8</v>
      </c>
      <c r="AT181" s="171">
        <f t="shared" si="63"/>
        <v>1</v>
      </c>
      <c r="AU181" s="171">
        <f t="shared" si="23"/>
        <v>0.8809139088</v>
      </c>
      <c r="AV181" s="23" t="s">
        <v>907</v>
      </c>
      <c r="AW181" s="91"/>
      <c r="AX181" s="43"/>
      <c r="AY181" s="91"/>
      <c r="AZ181" s="92"/>
      <c r="BA181" s="92"/>
      <c r="BB181" s="92"/>
      <c r="BC181" s="102"/>
      <c r="BD181" s="92"/>
      <c r="BE181" s="92"/>
      <c r="BF181" s="93"/>
      <c r="BG181" s="93"/>
      <c r="BH181" s="93"/>
    </row>
    <row r="182" ht="89.25" customHeight="1">
      <c r="A182" s="21">
        <v>181.0</v>
      </c>
      <c r="B182" s="28">
        <v>2024.0</v>
      </c>
      <c r="C182" s="23" t="s">
        <v>428</v>
      </c>
      <c r="D182" s="80" t="s">
        <v>74</v>
      </c>
      <c r="E182" s="23" t="s">
        <v>429</v>
      </c>
      <c r="F182" s="25" t="s">
        <v>908</v>
      </c>
      <c r="G182" s="23" t="s">
        <v>909</v>
      </c>
      <c r="H182" s="23" t="s">
        <v>432</v>
      </c>
      <c r="I182" s="23" t="s">
        <v>174</v>
      </c>
      <c r="J182" s="23" t="s">
        <v>433</v>
      </c>
      <c r="K182" s="23"/>
      <c r="L182" s="23">
        <v>8.0</v>
      </c>
      <c r="M182" s="173">
        <v>1260.0</v>
      </c>
      <c r="N182" s="162">
        <v>0.0</v>
      </c>
      <c r="O182" s="82">
        <v>2.651949E8</v>
      </c>
      <c r="P182" s="82">
        <f>185000000+59766218+403978300</f>
        <v>648744518</v>
      </c>
      <c r="Q182" s="163">
        <f t="shared" si="2"/>
        <v>913939418</v>
      </c>
      <c r="R182" s="135">
        <v>6.8950673E7</v>
      </c>
      <c r="S182" s="164">
        <v>0.0</v>
      </c>
      <c r="T182" s="165">
        <f t="shared" si="3"/>
        <v>982890091</v>
      </c>
      <c r="U182" s="83" t="s">
        <v>64</v>
      </c>
      <c r="V182" s="83" t="s">
        <v>64</v>
      </c>
      <c r="W182" s="175"/>
      <c r="X182" s="176">
        <v>45653.0</v>
      </c>
      <c r="Y182" s="176">
        <v>45991.0</v>
      </c>
      <c r="Z182" s="177">
        <v>4.0</v>
      </c>
      <c r="AA182" s="170">
        <v>0.0</v>
      </c>
      <c r="AB182" s="176">
        <v>46111.0</v>
      </c>
      <c r="AC182" s="38">
        <f t="shared" si="4"/>
        <v>-176</v>
      </c>
      <c r="AD182" s="27"/>
      <c r="AE182" s="27"/>
      <c r="AF182" s="27">
        <v>1260.0</v>
      </c>
      <c r="AG182" s="27"/>
      <c r="AH182" s="95">
        <f t="shared" si="40"/>
        <v>1260</v>
      </c>
      <c r="AI182" s="178">
        <v>1260.0</v>
      </c>
      <c r="AJ182" s="88">
        <f t="shared" si="61"/>
        <v>0</v>
      </c>
      <c r="AK182" s="162"/>
      <c r="AL182" s="162"/>
      <c r="AM182" s="162"/>
      <c r="AN182" s="162"/>
      <c r="AO182" s="162">
        <v>0.0</v>
      </c>
      <c r="AP182" s="178">
        <v>1260.0</v>
      </c>
      <c r="AQ182" s="162">
        <v>0.0</v>
      </c>
      <c r="AR182" s="82">
        <f t="shared" ref="AR182:AR272" si="64">O182+R182</f>
        <v>334145573</v>
      </c>
      <c r="AS182" s="82">
        <f>235334752+60738800</f>
        <v>296073552</v>
      </c>
      <c r="AT182" s="171">
        <f t="shared" si="63"/>
        <v>1</v>
      </c>
      <c r="AU182" s="171">
        <f t="shared" si="23"/>
        <v>0.8860615729</v>
      </c>
      <c r="AV182" s="23" t="s">
        <v>910</v>
      </c>
      <c r="AW182" s="91"/>
      <c r="AX182" s="43"/>
      <c r="AY182" s="91"/>
      <c r="AZ182" s="92"/>
      <c r="BA182" s="92"/>
      <c r="BB182" s="92"/>
      <c r="BC182" s="102"/>
      <c r="BD182" s="92"/>
      <c r="BE182" s="92"/>
      <c r="BF182" s="93"/>
      <c r="BG182" s="93"/>
      <c r="BH182" s="93"/>
    </row>
    <row r="183" ht="89.25" customHeight="1">
      <c r="A183" s="21">
        <v>182.0</v>
      </c>
      <c r="B183" s="28">
        <v>2024.0</v>
      </c>
      <c r="C183" s="23" t="s">
        <v>428</v>
      </c>
      <c r="D183" s="80" t="s">
        <v>74</v>
      </c>
      <c r="E183" s="23" t="s">
        <v>429</v>
      </c>
      <c r="F183" s="25" t="s">
        <v>911</v>
      </c>
      <c r="G183" s="23" t="s">
        <v>912</v>
      </c>
      <c r="H183" s="23" t="s">
        <v>432</v>
      </c>
      <c r="I183" s="23" t="s">
        <v>174</v>
      </c>
      <c r="J183" s="23" t="s">
        <v>433</v>
      </c>
      <c r="K183" s="23"/>
      <c r="L183" s="23">
        <v>8.0</v>
      </c>
      <c r="M183" s="173">
        <v>1000.0</v>
      </c>
      <c r="N183" s="162">
        <v>0.0</v>
      </c>
      <c r="O183" s="82">
        <v>2.69231545E8</v>
      </c>
      <c r="P183" s="82">
        <f>185000000+61448125+566910567</f>
        <v>813358692</v>
      </c>
      <c r="Q183" s="163">
        <f t="shared" si="2"/>
        <v>1082590237</v>
      </c>
      <c r="R183" s="164">
        <v>0.0</v>
      </c>
      <c r="S183" s="164">
        <v>0.0</v>
      </c>
      <c r="T183" s="165">
        <f t="shared" si="3"/>
        <v>1082590237</v>
      </c>
      <c r="U183" s="83" t="s">
        <v>64</v>
      </c>
      <c r="V183" s="83" t="s">
        <v>64</v>
      </c>
      <c r="W183" s="175"/>
      <c r="X183" s="176">
        <v>45653.0</v>
      </c>
      <c r="Y183" s="176">
        <v>45991.0</v>
      </c>
      <c r="Z183" s="177">
        <v>4.0</v>
      </c>
      <c r="AA183" s="170">
        <v>0.0</v>
      </c>
      <c r="AB183" s="176">
        <v>46111.0</v>
      </c>
      <c r="AC183" s="38">
        <f t="shared" si="4"/>
        <v>-176</v>
      </c>
      <c r="AD183" s="27"/>
      <c r="AE183" s="27"/>
      <c r="AF183" s="27">
        <v>1000.0</v>
      </c>
      <c r="AG183" s="27"/>
      <c r="AH183" s="95">
        <f t="shared" si="40"/>
        <v>1000</v>
      </c>
      <c r="AI183" s="87">
        <f t="shared" ref="AI183:AI198" si="65">AP183</f>
        <v>1000</v>
      </c>
      <c r="AJ183" s="88">
        <f t="shared" si="61"/>
        <v>0</v>
      </c>
      <c r="AK183" s="162"/>
      <c r="AL183" s="162"/>
      <c r="AM183" s="162"/>
      <c r="AN183" s="162"/>
      <c r="AO183" s="162">
        <v>0.0</v>
      </c>
      <c r="AP183" s="178">
        <v>1000.0</v>
      </c>
      <c r="AQ183" s="162">
        <v>0.0</v>
      </c>
      <c r="AR183" s="82">
        <f t="shared" si="64"/>
        <v>269231545</v>
      </c>
      <c r="AS183" s="82">
        <v>2.38201326E8</v>
      </c>
      <c r="AT183" s="171">
        <f t="shared" si="63"/>
        <v>1</v>
      </c>
      <c r="AU183" s="171">
        <f t="shared" si="23"/>
        <v>0.884745233</v>
      </c>
      <c r="AV183" s="23" t="s">
        <v>913</v>
      </c>
      <c r="AW183" s="91"/>
      <c r="AX183" s="43"/>
      <c r="AY183" s="91"/>
      <c r="AZ183" s="92"/>
      <c r="BA183" s="92"/>
      <c r="BB183" s="92"/>
      <c r="BC183" s="102"/>
      <c r="BD183" s="92"/>
      <c r="BE183" s="92"/>
      <c r="BF183" s="93"/>
      <c r="BG183" s="93"/>
      <c r="BH183" s="93"/>
    </row>
    <row r="184" ht="89.25" customHeight="1">
      <c r="A184" s="21">
        <v>183.0</v>
      </c>
      <c r="B184" s="28">
        <v>2024.0</v>
      </c>
      <c r="C184" s="23" t="s">
        <v>428</v>
      </c>
      <c r="D184" s="80" t="s">
        <v>74</v>
      </c>
      <c r="E184" s="23" t="s">
        <v>429</v>
      </c>
      <c r="F184" s="25" t="s">
        <v>914</v>
      </c>
      <c r="G184" s="23" t="s">
        <v>492</v>
      </c>
      <c r="H184" s="23" t="s">
        <v>432</v>
      </c>
      <c r="I184" s="23" t="s">
        <v>174</v>
      </c>
      <c r="J184" s="23" t="s">
        <v>433</v>
      </c>
      <c r="K184" s="23"/>
      <c r="L184" s="23">
        <v>8.0</v>
      </c>
      <c r="M184" s="173">
        <v>1068.0</v>
      </c>
      <c r="N184" s="162">
        <v>0.0</v>
      </c>
      <c r="O184" s="82">
        <v>3.04574007E8</v>
      </c>
      <c r="P184" s="82">
        <f>225000000+69602106+548471664</f>
        <v>843073770</v>
      </c>
      <c r="Q184" s="163">
        <f t="shared" si="2"/>
        <v>1147647777</v>
      </c>
      <c r="R184" s="164">
        <v>0.0</v>
      </c>
      <c r="S184" s="164">
        <v>0.0</v>
      </c>
      <c r="T184" s="165">
        <f t="shared" si="3"/>
        <v>1147647777</v>
      </c>
      <c r="U184" s="83" t="s">
        <v>64</v>
      </c>
      <c r="V184" s="83" t="s">
        <v>64</v>
      </c>
      <c r="W184" s="175"/>
      <c r="X184" s="176">
        <v>45653.0</v>
      </c>
      <c r="Y184" s="176">
        <v>45991.0</v>
      </c>
      <c r="Z184" s="177">
        <v>4.0</v>
      </c>
      <c r="AA184" s="170">
        <v>0.0</v>
      </c>
      <c r="AB184" s="176">
        <v>46111.0</v>
      </c>
      <c r="AC184" s="38">
        <f t="shared" si="4"/>
        <v>-176</v>
      </c>
      <c r="AD184" s="27"/>
      <c r="AE184" s="27"/>
      <c r="AF184" s="27">
        <v>1068.0</v>
      </c>
      <c r="AG184" s="27"/>
      <c r="AH184" s="95">
        <f t="shared" si="40"/>
        <v>1068</v>
      </c>
      <c r="AI184" s="178">
        <f t="shared" si="65"/>
        <v>1068</v>
      </c>
      <c r="AJ184" s="88">
        <f t="shared" si="61"/>
        <v>0</v>
      </c>
      <c r="AK184" s="162"/>
      <c r="AL184" s="162"/>
      <c r="AM184" s="162"/>
      <c r="AN184" s="162"/>
      <c r="AO184" s="162">
        <v>0.0</v>
      </c>
      <c r="AP184" s="178">
        <v>1068.0</v>
      </c>
      <c r="AQ184" s="162">
        <v>0.0</v>
      </c>
      <c r="AR184" s="82">
        <f t="shared" si="64"/>
        <v>304574007</v>
      </c>
      <c r="AS184" s="82">
        <v>2.68994313E8</v>
      </c>
      <c r="AT184" s="171">
        <f t="shared" si="63"/>
        <v>1</v>
      </c>
      <c r="AU184" s="171">
        <f t="shared" si="23"/>
        <v>0.8831821062</v>
      </c>
      <c r="AV184" s="23" t="s">
        <v>915</v>
      </c>
      <c r="AW184" s="91"/>
      <c r="AX184" s="43"/>
      <c r="AY184" s="91"/>
      <c r="AZ184" s="92"/>
      <c r="BA184" s="92"/>
      <c r="BB184" s="92"/>
      <c r="BC184" s="102"/>
      <c r="BD184" s="92"/>
      <c r="BE184" s="92"/>
      <c r="BF184" s="93"/>
      <c r="BG184" s="93"/>
      <c r="BH184" s="93"/>
    </row>
    <row r="185" ht="89.25" customHeight="1">
      <c r="A185" s="21">
        <v>184.0</v>
      </c>
      <c r="B185" s="28">
        <v>2024.0</v>
      </c>
      <c r="C185" s="23" t="s">
        <v>428</v>
      </c>
      <c r="D185" s="80" t="s">
        <v>74</v>
      </c>
      <c r="E185" s="23" t="s">
        <v>429</v>
      </c>
      <c r="F185" s="25" t="s">
        <v>916</v>
      </c>
      <c r="G185" s="23" t="s">
        <v>487</v>
      </c>
      <c r="H185" s="23" t="s">
        <v>432</v>
      </c>
      <c r="I185" s="23" t="s">
        <v>78</v>
      </c>
      <c r="J185" s="23" t="s">
        <v>433</v>
      </c>
      <c r="K185" s="23"/>
      <c r="L185" s="23">
        <v>8.0</v>
      </c>
      <c r="M185" s="173">
        <v>1000.0</v>
      </c>
      <c r="N185" s="162">
        <v>0.0</v>
      </c>
      <c r="O185" s="82">
        <v>2.92810701E8</v>
      </c>
      <c r="P185" s="82">
        <f>225000000+70520461+270547647</f>
        <v>566068108</v>
      </c>
      <c r="Q185" s="163">
        <f t="shared" si="2"/>
        <v>858878809</v>
      </c>
      <c r="R185" s="164">
        <v>0.0</v>
      </c>
      <c r="S185" s="164">
        <v>0.0</v>
      </c>
      <c r="T185" s="165">
        <f t="shared" si="3"/>
        <v>858878809</v>
      </c>
      <c r="U185" s="83" t="s">
        <v>64</v>
      </c>
      <c r="V185" s="83" t="s">
        <v>64</v>
      </c>
      <c r="W185" s="175"/>
      <c r="X185" s="176">
        <v>45653.0</v>
      </c>
      <c r="Y185" s="176">
        <v>45991.0</v>
      </c>
      <c r="Z185" s="177">
        <v>4.0</v>
      </c>
      <c r="AA185" s="170">
        <v>0.0</v>
      </c>
      <c r="AB185" s="176">
        <v>46111.0</v>
      </c>
      <c r="AC185" s="38">
        <f t="shared" si="4"/>
        <v>-176</v>
      </c>
      <c r="AD185" s="27"/>
      <c r="AE185" s="27"/>
      <c r="AF185" s="27">
        <v>1000.0</v>
      </c>
      <c r="AG185" s="27"/>
      <c r="AH185" s="95">
        <f t="shared" si="40"/>
        <v>1000</v>
      </c>
      <c r="AI185" s="87">
        <f t="shared" si="65"/>
        <v>1000</v>
      </c>
      <c r="AJ185" s="88">
        <f t="shared" si="61"/>
        <v>0</v>
      </c>
      <c r="AK185" s="162"/>
      <c r="AL185" s="162"/>
      <c r="AM185" s="162"/>
      <c r="AN185" s="162"/>
      <c r="AO185" s="162">
        <v>0.0</v>
      </c>
      <c r="AP185" s="178">
        <v>1000.0</v>
      </c>
      <c r="AQ185" s="162">
        <v>0.0</v>
      </c>
      <c r="AR185" s="82">
        <f t="shared" si="64"/>
        <v>292810701</v>
      </c>
      <c r="AS185" s="82">
        <v>2.52873976E8</v>
      </c>
      <c r="AT185" s="171">
        <f t="shared" si="63"/>
        <v>1</v>
      </c>
      <c r="AU185" s="171">
        <f t="shared" si="23"/>
        <v>0.863609066</v>
      </c>
      <c r="AV185" s="23" t="s">
        <v>917</v>
      </c>
      <c r="AW185" s="91"/>
      <c r="AX185" s="43"/>
      <c r="AY185" s="91"/>
      <c r="AZ185" s="92"/>
      <c r="BA185" s="92"/>
      <c r="BB185" s="92"/>
      <c r="BC185" s="102"/>
      <c r="BD185" s="92"/>
      <c r="BE185" s="92"/>
      <c r="BF185" s="93"/>
      <c r="BG185" s="93"/>
      <c r="BH185" s="93"/>
    </row>
    <row r="186" ht="89.25" customHeight="1">
      <c r="A186" s="21">
        <v>185.0</v>
      </c>
      <c r="B186" s="28">
        <v>2024.0</v>
      </c>
      <c r="C186" s="23" t="s">
        <v>428</v>
      </c>
      <c r="D186" s="80" t="s">
        <v>74</v>
      </c>
      <c r="E186" s="23" t="s">
        <v>429</v>
      </c>
      <c r="F186" s="25" t="s">
        <v>918</v>
      </c>
      <c r="G186" s="23" t="s">
        <v>517</v>
      </c>
      <c r="H186" s="23" t="s">
        <v>432</v>
      </c>
      <c r="I186" s="23" t="s">
        <v>127</v>
      </c>
      <c r="J186" s="23" t="s">
        <v>433</v>
      </c>
      <c r="K186" s="23"/>
      <c r="L186" s="23">
        <v>8.0</v>
      </c>
      <c r="M186" s="173">
        <v>1000.0</v>
      </c>
      <c r="N186" s="162">
        <v>0.0</v>
      </c>
      <c r="O186" s="82">
        <v>3.08854568E8</v>
      </c>
      <c r="P186" s="82">
        <f>225000000+73183220+279111269</f>
        <v>577294489</v>
      </c>
      <c r="Q186" s="163">
        <f t="shared" si="2"/>
        <v>886149057</v>
      </c>
      <c r="R186" s="164">
        <v>0.0</v>
      </c>
      <c r="S186" s="164">
        <v>0.0</v>
      </c>
      <c r="T186" s="165">
        <f t="shared" si="3"/>
        <v>886149057</v>
      </c>
      <c r="U186" s="83" t="s">
        <v>64</v>
      </c>
      <c r="V186" s="83" t="s">
        <v>64</v>
      </c>
      <c r="W186" s="175"/>
      <c r="X186" s="176">
        <v>45653.0</v>
      </c>
      <c r="Y186" s="176">
        <v>45991.0</v>
      </c>
      <c r="Z186" s="177">
        <v>4.0</v>
      </c>
      <c r="AA186" s="170">
        <v>0.0</v>
      </c>
      <c r="AB186" s="176">
        <v>46111.0</v>
      </c>
      <c r="AC186" s="38">
        <f t="shared" si="4"/>
        <v>-176</v>
      </c>
      <c r="AD186" s="27"/>
      <c r="AE186" s="27"/>
      <c r="AF186" s="27">
        <v>1000.0</v>
      </c>
      <c r="AG186" s="27"/>
      <c r="AH186" s="95">
        <f t="shared" si="40"/>
        <v>1000</v>
      </c>
      <c r="AI186" s="87">
        <f t="shared" si="65"/>
        <v>1000</v>
      </c>
      <c r="AJ186" s="88">
        <f t="shared" si="61"/>
        <v>0</v>
      </c>
      <c r="AK186" s="162"/>
      <c r="AL186" s="162"/>
      <c r="AM186" s="162"/>
      <c r="AN186" s="162"/>
      <c r="AO186" s="162">
        <v>0.0</v>
      </c>
      <c r="AP186" s="178">
        <v>1000.0</v>
      </c>
      <c r="AQ186" s="162">
        <v>0.0</v>
      </c>
      <c r="AR186" s="82">
        <f t="shared" si="64"/>
        <v>308854568</v>
      </c>
      <c r="AS186" s="82">
        <v>2.72792826E8</v>
      </c>
      <c r="AT186" s="171">
        <f t="shared" si="63"/>
        <v>1</v>
      </c>
      <c r="AU186" s="171">
        <f t="shared" si="23"/>
        <v>0.88324038</v>
      </c>
      <c r="AV186" s="23" t="s">
        <v>919</v>
      </c>
      <c r="AW186" s="91"/>
      <c r="AX186" s="43"/>
      <c r="AY186" s="91"/>
      <c r="AZ186" s="92"/>
      <c r="BA186" s="92"/>
      <c r="BB186" s="92"/>
      <c r="BC186" s="102"/>
      <c r="BD186" s="92"/>
      <c r="BE186" s="92"/>
      <c r="BF186" s="93"/>
      <c r="BG186" s="93"/>
      <c r="BH186" s="93"/>
    </row>
    <row r="187" ht="89.25" customHeight="1">
      <c r="A187" s="21">
        <v>186.0</v>
      </c>
      <c r="B187" s="28">
        <v>2024.0</v>
      </c>
      <c r="C187" s="23" t="s">
        <v>428</v>
      </c>
      <c r="D187" s="80" t="s">
        <v>74</v>
      </c>
      <c r="E187" s="23" t="s">
        <v>429</v>
      </c>
      <c r="F187" s="25" t="s">
        <v>920</v>
      </c>
      <c r="G187" s="23" t="s">
        <v>146</v>
      </c>
      <c r="H187" s="23" t="s">
        <v>432</v>
      </c>
      <c r="I187" s="23" t="s">
        <v>127</v>
      </c>
      <c r="J187" s="23" t="s">
        <v>433</v>
      </c>
      <c r="K187" s="23"/>
      <c r="L187" s="23">
        <v>8.0</v>
      </c>
      <c r="M187" s="173">
        <v>1050.0</v>
      </c>
      <c r="N187" s="162">
        <v>0.0</v>
      </c>
      <c r="O187" s="82">
        <v>2.62114064E8</v>
      </c>
      <c r="P187" s="82">
        <f>185000000+58280536+470122886</f>
        <v>713403422</v>
      </c>
      <c r="Q187" s="163">
        <f t="shared" si="2"/>
        <v>975517486</v>
      </c>
      <c r="R187" s="164">
        <v>0.0</v>
      </c>
      <c r="S187" s="164">
        <v>0.0</v>
      </c>
      <c r="T187" s="165">
        <f t="shared" si="3"/>
        <v>975517486</v>
      </c>
      <c r="U187" s="83" t="s">
        <v>64</v>
      </c>
      <c r="V187" s="83" t="s">
        <v>64</v>
      </c>
      <c r="W187" s="175"/>
      <c r="X187" s="176">
        <v>45653.0</v>
      </c>
      <c r="Y187" s="176">
        <v>45991.0</v>
      </c>
      <c r="Z187" s="177">
        <v>4.0</v>
      </c>
      <c r="AA187" s="170">
        <v>0.0</v>
      </c>
      <c r="AB187" s="176">
        <v>46111.0</v>
      </c>
      <c r="AC187" s="38">
        <f t="shared" si="4"/>
        <v>-176</v>
      </c>
      <c r="AD187" s="27"/>
      <c r="AE187" s="27"/>
      <c r="AF187" s="27">
        <v>1050.0</v>
      </c>
      <c r="AG187" s="27"/>
      <c r="AH187" s="95">
        <f t="shared" si="40"/>
        <v>1050</v>
      </c>
      <c r="AI187" s="178">
        <f t="shared" si="65"/>
        <v>1050</v>
      </c>
      <c r="AJ187" s="88">
        <f t="shared" si="61"/>
        <v>0</v>
      </c>
      <c r="AK187" s="162"/>
      <c r="AL187" s="162"/>
      <c r="AM187" s="162"/>
      <c r="AN187" s="162"/>
      <c r="AO187" s="162">
        <v>0.0</v>
      </c>
      <c r="AP187" s="178">
        <v>1050.0</v>
      </c>
      <c r="AQ187" s="162">
        <v>0.0</v>
      </c>
      <c r="AR187" s="82">
        <f t="shared" si="64"/>
        <v>262114064</v>
      </c>
      <c r="AS187" s="82">
        <v>2.31731149E8</v>
      </c>
      <c r="AT187" s="171">
        <f t="shared" si="63"/>
        <v>1</v>
      </c>
      <c r="AU187" s="171">
        <f t="shared" si="23"/>
        <v>0.8840851401</v>
      </c>
      <c r="AV187" s="23" t="s">
        <v>921</v>
      </c>
      <c r="AW187" s="91"/>
      <c r="AX187" s="43"/>
      <c r="AY187" s="91"/>
      <c r="AZ187" s="92"/>
      <c r="BA187" s="92"/>
      <c r="BB187" s="92"/>
      <c r="BC187" s="102"/>
      <c r="BD187" s="92"/>
      <c r="BE187" s="92"/>
      <c r="BF187" s="93"/>
      <c r="BG187" s="93"/>
      <c r="BH187" s="93"/>
    </row>
    <row r="188" ht="89.25" customHeight="1">
      <c r="A188" s="21">
        <v>187.0</v>
      </c>
      <c r="B188" s="28">
        <v>2024.0</v>
      </c>
      <c r="C188" s="23" t="s">
        <v>428</v>
      </c>
      <c r="D188" s="80" t="s">
        <v>74</v>
      </c>
      <c r="E188" s="23" t="s">
        <v>429</v>
      </c>
      <c r="F188" s="25" t="s">
        <v>922</v>
      </c>
      <c r="G188" s="23" t="s">
        <v>884</v>
      </c>
      <c r="H188" s="23" t="s">
        <v>432</v>
      </c>
      <c r="I188" s="23" t="s">
        <v>120</v>
      </c>
      <c r="J188" s="23" t="s">
        <v>433</v>
      </c>
      <c r="K188" s="23"/>
      <c r="L188" s="23">
        <v>8.0</v>
      </c>
      <c r="M188" s="173">
        <v>1000.0</v>
      </c>
      <c r="N188" s="162">
        <v>0.0</v>
      </c>
      <c r="O188" s="82">
        <v>2.93660173E8</v>
      </c>
      <c r="P188" s="82">
        <f>189000000+69525375+535648342</f>
        <v>794173717</v>
      </c>
      <c r="Q188" s="163">
        <f t="shared" si="2"/>
        <v>1087833890</v>
      </c>
      <c r="R188" s="164">
        <v>0.0</v>
      </c>
      <c r="S188" s="164">
        <v>0.0</v>
      </c>
      <c r="T188" s="165">
        <f t="shared" si="3"/>
        <v>1087833890</v>
      </c>
      <c r="U188" s="83" t="s">
        <v>64</v>
      </c>
      <c r="V188" s="83" t="s">
        <v>64</v>
      </c>
      <c r="W188" s="175"/>
      <c r="X188" s="176">
        <v>45653.0</v>
      </c>
      <c r="Y188" s="176">
        <v>45991.0</v>
      </c>
      <c r="Z188" s="177">
        <v>4.0</v>
      </c>
      <c r="AA188" s="170">
        <v>0.0</v>
      </c>
      <c r="AB188" s="176">
        <v>46111.0</v>
      </c>
      <c r="AC188" s="38">
        <f t="shared" si="4"/>
        <v>-176</v>
      </c>
      <c r="AD188" s="27"/>
      <c r="AE188" s="27"/>
      <c r="AF188" s="27">
        <v>1000.0</v>
      </c>
      <c r="AG188" s="27"/>
      <c r="AH188" s="95">
        <f t="shared" si="40"/>
        <v>1000</v>
      </c>
      <c r="AI188" s="87">
        <f t="shared" si="65"/>
        <v>1000</v>
      </c>
      <c r="AJ188" s="88">
        <f t="shared" si="61"/>
        <v>0</v>
      </c>
      <c r="AK188" s="162"/>
      <c r="AL188" s="162"/>
      <c r="AM188" s="162"/>
      <c r="AN188" s="162"/>
      <c r="AO188" s="162">
        <v>0.0</v>
      </c>
      <c r="AP188" s="178">
        <v>1000.0</v>
      </c>
      <c r="AQ188" s="162">
        <v>0.0</v>
      </c>
      <c r="AR188" s="82">
        <f t="shared" si="64"/>
        <v>293660173</v>
      </c>
      <c r="AS188" s="82">
        <v>2.60156657E8</v>
      </c>
      <c r="AT188" s="171">
        <f t="shared" si="63"/>
        <v>1</v>
      </c>
      <c r="AU188" s="171">
        <f t="shared" si="23"/>
        <v>0.8859105896</v>
      </c>
      <c r="AV188" s="103" t="s">
        <v>923</v>
      </c>
      <c r="AW188" s="91"/>
      <c r="AX188" s="43"/>
      <c r="AY188" s="91"/>
      <c r="AZ188" s="92"/>
      <c r="BA188" s="92"/>
      <c r="BB188" s="92"/>
      <c r="BC188" s="102"/>
      <c r="BD188" s="92"/>
      <c r="BE188" s="92"/>
      <c r="BF188" s="93"/>
      <c r="BG188" s="93"/>
      <c r="BH188" s="93"/>
    </row>
    <row r="189" ht="89.25" customHeight="1">
      <c r="A189" s="21">
        <v>188.0</v>
      </c>
      <c r="B189" s="28">
        <v>2024.0</v>
      </c>
      <c r="C189" s="23" t="s">
        <v>428</v>
      </c>
      <c r="D189" s="80" t="s">
        <v>74</v>
      </c>
      <c r="E189" s="23" t="s">
        <v>429</v>
      </c>
      <c r="F189" s="25" t="s">
        <v>924</v>
      </c>
      <c r="G189" s="23" t="s">
        <v>925</v>
      </c>
      <c r="H189" s="23" t="s">
        <v>432</v>
      </c>
      <c r="I189" s="23" t="s">
        <v>78</v>
      </c>
      <c r="J189" s="23" t="s">
        <v>433</v>
      </c>
      <c r="K189" s="23"/>
      <c r="L189" s="23">
        <v>8.0</v>
      </c>
      <c r="M189" s="173">
        <v>1000.0</v>
      </c>
      <c r="N189" s="162">
        <v>0.0</v>
      </c>
      <c r="O189" s="82">
        <v>2.6466248E8</v>
      </c>
      <c r="P189" s="82">
        <f>200755847+58716055+306181343</f>
        <v>565653245</v>
      </c>
      <c r="Q189" s="163">
        <f t="shared" si="2"/>
        <v>830315725</v>
      </c>
      <c r="R189" s="164">
        <v>0.0</v>
      </c>
      <c r="S189" s="164">
        <v>0.0</v>
      </c>
      <c r="T189" s="165">
        <f t="shared" si="3"/>
        <v>830315725</v>
      </c>
      <c r="U189" s="83" t="s">
        <v>64</v>
      </c>
      <c r="V189" s="83" t="s">
        <v>64</v>
      </c>
      <c r="W189" s="175"/>
      <c r="X189" s="176">
        <v>45653.0</v>
      </c>
      <c r="Y189" s="176">
        <v>45991.0</v>
      </c>
      <c r="Z189" s="177">
        <v>4.0</v>
      </c>
      <c r="AA189" s="170">
        <v>0.0</v>
      </c>
      <c r="AB189" s="176">
        <v>46111.0</v>
      </c>
      <c r="AC189" s="38">
        <f t="shared" si="4"/>
        <v>-176</v>
      </c>
      <c r="AD189" s="27"/>
      <c r="AE189" s="27"/>
      <c r="AF189" s="27">
        <v>1000.0</v>
      </c>
      <c r="AG189" s="27"/>
      <c r="AH189" s="95">
        <f t="shared" si="40"/>
        <v>1000</v>
      </c>
      <c r="AI189" s="87">
        <f t="shared" si="65"/>
        <v>1000</v>
      </c>
      <c r="AJ189" s="88">
        <f t="shared" si="61"/>
        <v>0</v>
      </c>
      <c r="AK189" s="162"/>
      <c r="AL189" s="162"/>
      <c r="AM189" s="162"/>
      <c r="AN189" s="162"/>
      <c r="AO189" s="162">
        <v>0.0</v>
      </c>
      <c r="AP189" s="178">
        <v>1000.0</v>
      </c>
      <c r="AQ189" s="162">
        <v>0.0</v>
      </c>
      <c r="AR189" s="82">
        <f t="shared" si="64"/>
        <v>264662480</v>
      </c>
      <c r="AS189" s="82">
        <v>2.33963622E8</v>
      </c>
      <c r="AT189" s="171">
        <f t="shared" si="63"/>
        <v>1</v>
      </c>
      <c r="AU189" s="171">
        <f t="shared" si="23"/>
        <v>0.8840075178</v>
      </c>
      <c r="AV189" s="103" t="s">
        <v>926</v>
      </c>
      <c r="AW189" s="91"/>
      <c r="AX189" s="43"/>
      <c r="AY189" s="91"/>
      <c r="AZ189" s="92"/>
      <c r="BA189" s="92"/>
      <c r="BB189" s="92"/>
      <c r="BC189" s="102"/>
      <c r="BD189" s="92"/>
      <c r="BE189" s="92"/>
      <c r="BF189" s="93"/>
      <c r="BG189" s="93"/>
      <c r="BH189" s="93"/>
    </row>
    <row r="190" ht="89.25" customHeight="1">
      <c r="A190" s="21">
        <v>189.0</v>
      </c>
      <c r="B190" s="28">
        <v>2024.0</v>
      </c>
      <c r="C190" s="23" t="s">
        <v>428</v>
      </c>
      <c r="D190" s="80" t="s">
        <v>74</v>
      </c>
      <c r="E190" s="23" t="s">
        <v>429</v>
      </c>
      <c r="F190" s="25" t="s">
        <v>927</v>
      </c>
      <c r="G190" s="23" t="s">
        <v>928</v>
      </c>
      <c r="H190" s="23" t="s">
        <v>432</v>
      </c>
      <c r="I190" s="23" t="s">
        <v>78</v>
      </c>
      <c r="J190" s="23" t="s">
        <v>433</v>
      </c>
      <c r="K190" s="23"/>
      <c r="L190" s="23">
        <v>8.0</v>
      </c>
      <c r="M190" s="173">
        <v>1005.0</v>
      </c>
      <c r="N190" s="162">
        <v>0.0</v>
      </c>
      <c r="O190" s="82">
        <v>2.77170095E8</v>
      </c>
      <c r="P190" s="82">
        <f>225000000+70932392+319547764</f>
        <v>615480156</v>
      </c>
      <c r="Q190" s="163">
        <f t="shared" si="2"/>
        <v>892650251</v>
      </c>
      <c r="R190" s="164">
        <v>0.0</v>
      </c>
      <c r="S190" s="164">
        <v>0.0</v>
      </c>
      <c r="T190" s="165">
        <f t="shared" si="3"/>
        <v>892650251</v>
      </c>
      <c r="U190" s="83" t="s">
        <v>64</v>
      </c>
      <c r="V190" s="83" t="s">
        <v>64</v>
      </c>
      <c r="W190" s="175"/>
      <c r="X190" s="176">
        <v>45653.0</v>
      </c>
      <c r="Y190" s="176">
        <v>45991.0</v>
      </c>
      <c r="Z190" s="177">
        <v>4.0</v>
      </c>
      <c r="AA190" s="170">
        <v>0.0</v>
      </c>
      <c r="AB190" s="176">
        <v>46111.0</v>
      </c>
      <c r="AC190" s="38">
        <f t="shared" si="4"/>
        <v>-176</v>
      </c>
      <c r="AD190" s="27"/>
      <c r="AE190" s="27"/>
      <c r="AF190" s="27">
        <v>1005.0</v>
      </c>
      <c r="AG190" s="27"/>
      <c r="AH190" s="95">
        <f t="shared" si="40"/>
        <v>1005</v>
      </c>
      <c r="AI190" s="178">
        <f t="shared" si="65"/>
        <v>1005</v>
      </c>
      <c r="AJ190" s="88">
        <f t="shared" si="61"/>
        <v>0</v>
      </c>
      <c r="AK190" s="162"/>
      <c r="AL190" s="162"/>
      <c r="AM190" s="162"/>
      <c r="AN190" s="162"/>
      <c r="AO190" s="162">
        <v>0.0</v>
      </c>
      <c r="AP190" s="178">
        <v>1005.0</v>
      </c>
      <c r="AQ190" s="162">
        <v>0.0</v>
      </c>
      <c r="AR190" s="82">
        <f t="shared" si="64"/>
        <v>277170095</v>
      </c>
      <c r="AS190" s="82">
        <v>2.45154969E8</v>
      </c>
      <c r="AT190" s="171">
        <f t="shared" si="63"/>
        <v>1</v>
      </c>
      <c r="AU190" s="171">
        <f t="shared" si="23"/>
        <v>0.8844928563</v>
      </c>
      <c r="AV190" s="23" t="s">
        <v>929</v>
      </c>
      <c r="AW190" s="91"/>
      <c r="AX190" s="43"/>
      <c r="AY190" s="91"/>
      <c r="AZ190" s="92"/>
      <c r="BA190" s="92"/>
      <c r="BB190" s="92"/>
      <c r="BC190" s="102"/>
      <c r="BD190" s="92"/>
      <c r="BE190" s="92"/>
      <c r="BF190" s="93"/>
      <c r="BG190" s="93"/>
      <c r="BH190" s="93"/>
    </row>
    <row r="191" ht="89.25" customHeight="1">
      <c r="A191" s="21">
        <v>190.0</v>
      </c>
      <c r="B191" s="28">
        <v>2024.0</v>
      </c>
      <c r="C191" s="23" t="s">
        <v>428</v>
      </c>
      <c r="D191" s="80" t="s">
        <v>74</v>
      </c>
      <c r="E191" s="23" t="s">
        <v>429</v>
      </c>
      <c r="F191" s="25" t="s">
        <v>930</v>
      </c>
      <c r="G191" s="23" t="s">
        <v>552</v>
      </c>
      <c r="H191" s="23" t="s">
        <v>432</v>
      </c>
      <c r="I191" s="23" t="s">
        <v>78</v>
      </c>
      <c r="J191" s="23" t="s">
        <v>433</v>
      </c>
      <c r="K191" s="23"/>
      <c r="L191" s="23">
        <v>8.0</v>
      </c>
      <c r="M191" s="173">
        <v>1000.0</v>
      </c>
      <c r="N191" s="162">
        <v>0.0</v>
      </c>
      <c r="O191" s="82">
        <v>2.76812372E8</v>
      </c>
      <c r="P191" s="82">
        <f>215000000+55312780+373415609</f>
        <v>643728389</v>
      </c>
      <c r="Q191" s="163">
        <f t="shared" si="2"/>
        <v>920540761</v>
      </c>
      <c r="R191" s="164">
        <v>0.0</v>
      </c>
      <c r="S191" s="164">
        <v>0.0</v>
      </c>
      <c r="T191" s="165">
        <f t="shared" si="3"/>
        <v>920540761</v>
      </c>
      <c r="U191" s="83" t="s">
        <v>64</v>
      </c>
      <c r="V191" s="83" t="s">
        <v>64</v>
      </c>
      <c r="W191" s="175"/>
      <c r="X191" s="176">
        <v>45653.0</v>
      </c>
      <c r="Y191" s="176">
        <v>45991.0</v>
      </c>
      <c r="Z191" s="177">
        <v>4.0</v>
      </c>
      <c r="AA191" s="170">
        <v>0.0</v>
      </c>
      <c r="AB191" s="176">
        <v>46111.0</v>
      </c>
      <c r="AC191" s="38">
        <f t="shared" si="4"/>
        <v>-176</v>
      </c>
      <c r="AD191" s="27"/>
      <c r="AE191" s="27"/>
      <c r="AF191" s="27">
        <v>1000.0</v>
      </c>
      <c r="AG191" s="27"/>
      <c r="AH191" s="95">
        <f t="shared" si="40"/>
        <v>1000</v>
      </c>
      <c r="AI191" s="87">
        <f t="shared" si="65"/>
        <v>1000</v>
      </c>
      <c r="AJ191" s="88">
        <f t="shared" si="61"/>
        <v>0</v>
      </c>
      <c r="AK191" s="162"/>
      <c r="AL191" s="162"/>
      <c r="AM191" s="162"/>
      <c r="AN191" s="162"/>
      <c r="AO191" s="162">
        <v>0.0</v>
      </c>
      <c r="AP191" s="178">
        <v>1000.0</v>
      </c>
      <c r="AQ191" s="162">
        <v>0.0</v>
      </c>
      <c r="AR191" s="82">
        <f t="shared" si="64"/>
        <v>276812372</v>
      </c>
      <c r="AS191" s="82">
        <v>2.44959234E8</v>
      </c>
      <c r="AT191" s="171">
        <f t="shared" si="63"/>
        <v>1</v>
      </c>
      <c r="AU191" s="171">
        <f t="shared" si="23"/>
        <v>0.8849287777</v>
      </c>
      <c r="AV191" s="23" t="s">
        <v>931</v>
      </c>
      <c r="AW191" s="91"/>
      <c r="AX191" s="43"/>
      <c r="AY191" s="91"/>
      <c r="AZ191" s="92"/>
      <c r="BA191" s="92"/>
      <c r="BB191" s="92"/>
      <c r="BC191" s="102"/>
      <c r="BD191" s="92"/>
      <c r="BE191" s="92"/>
      <c r="BF191" s="93"/>
      <c r="BG191" s="93"/>
      <c r="BH191" s="93"/>
    </row>
    <row r="192" ht="89.25" customHeight="1">
      <c r="A192" s="21">
        <v>191.0</v>
      </c>
      <c r="B192" s="28">
        <v>2024.0</v>
      </c>
      <c r="C192" s="23" t="s">
        <v>428</v>
      </c>
      <c r="D192" s="80" t="s">
        <v>74</v>
      </c>
      <c r="E192" s="23" t="s">
        <v>429</v>
      </c>
      <c r="F192" s="25" t="s">
        <v>932</v>
      </c>
      <c r="G192" s="23" t="s">
        <v>483</v>
      </c>
      <c r="H192" s="23" t="s">
        <v>432</v>
      </c>
      <c r="I192" s="23" t="s">
        <v>78</v>
      </c>
      <c r="J192" s="23" t="s">
        <v>433</v>
      </c>
      <c r="K192" s="23"/>
      <c r="L192" s="23">
        <v>8.0</v>
      </c>
      <c r="M192" s="173">
        <v>1000.0</v>
      </c>
      <c r="N192" s="162">
        <v>0.0</v>
      </c>
      <c r="O192" s="82">
        <v>2.60173776E8</v>
      </c>
      <c r="P192" s="82">
        <f>185000000+51844783+288219485</f>
        <v>525064268</v>
      </c>
      <c r="Q192" s="163">
        <f t="shared" si="2"/>
        <v>785238044</v>
      </c>
      <c r="R192" s="164">
        <v>0.0</v>
      </c>
      <c r="S192" s="164">
        <v>0.0</v>
      </c>
      <c r="T192" s="165">
        <f t="shared" si="3"/>
        <v>785238044</v>
      </c>
      <c r="U192" s="83" t="s">
        <v>64</v>
      </c>
      <c r="V192" s="83" t="s">
        <v>64</v>
      </c>
      <c r="W192" s="175"/>
      <c r="X192" s="176">
        <v>45653.0</v>
      </c>
      <c r="Y192" s="176">
        <v>45991.0</v>
      </c>
      <c r="Z192" s="177">
        <v>4.0</v>
      </c>
      <c r="AA192" s="170">
        <v>0.0</v>
      </c>
      <c r="AB192" s="176">
        <v>46111.0</v>
      </c>
      <c r="AC192" s="38">
        <f t="shared" si="4"/>
        <v>-176</v>
      </c>
      <c r="AD192" s="27"/>
      <c r="AE192" s="27"/>
      <c r="AF192" s="27">
        <v>1000.0</v>
      </c>
      <c r="AG192" s="27"/>
      <c r="AH192" s="95">
        <f t="shared" si="40"/>
        <v>1000</v>
      </c>
      <c r="AI192" s="87">
        <f t="shared" si="65"/>
        <v>1000</v>
      </c>
      <c r="AJ192" s="88">
        <f t="shared" si="61"/>
        <v>0</v>
      </c>
      <c r="AK192" s="162"/>
      <c r="AL192" s="162"/>
      <c r="AM192" s="162"/>
      <c r="AN192" s="162"/>
      <c r="AO192" s="162">
        <v>0.0</v>
      </c>
      <c r="AP192" s="178">
        <v>1000.0</v>
      </c>
      <c r="AQ192" s="162">
        <v>0.0</v>
      </c>
      <c r="AR192" s="82">
        <f t="shared" si="64"/>
        <v>260173776</v>
      </c>
      <c r="AS192" s="82">
        <v>2.30045213E8</v>
      </c>
      <c r="AT192" s="171">
        <f t="shared" si="63"/>
        <v>1</v>
      </c>
      <c r="AU192" s="171">
        <f t="shared" si="23"/>
        <v>0.8841983098</v>
      </c>
      <c r="AV192" s="23" t="s">
        <v>933</v>
      </c>
      <c r="AW192" s="91"/>
      <c r="AX192" s="43"/>
      <c r="AY192" s="91"/>
      <c r="AZ192" s="92"/>
      <c r="BA192" s="92"/>
      <c r="BB192" s="92"/>
      <c r="BC192" s="102"/>
      <c r="BD192" s="92"/>
      <c r="BE192" s="92"/>
      <c r="BF192" s="93"/>
      <c r="BG192" s="93"/>
      <c r="BH192" s="93"/>
    </row>
    <row r="193" ht="89.25" customHeight="1">
      <c r="A193" s="21">
        <v>192.0</v>
      </c>
      <c r="B193" s="28">
        <v>2024.0</v>
      </c>
      <c r="C193" s="23" t="s">
        <v>428</v>
      </c>
      <c r="D193" s="80" t="s">
        <v>74</v>
      </c>
      <c r="E193" s="23" t="s">
        <v>429</v>
      </c>
      <c r="F193" s="25" t="s">
        <v>934</v>
      </c>
      <c r="G193" s="23" t="s">
        <v>935</v>
      </c>
      <c r="H193" s="23" t="s">
        <v>432</v>
      </c>
      <c r="I193" s="23" t="s">
        <v>78</v>
      </c>
      <c r="J193" s="23" t="s">
        <v>433</v>
      </c>
      <c r="K193" s="23"/>
      <c r="L193" s="23">
        <v>8.0</v>
      </c>
      <c r="M193" s="173">
        <v>948.0</v>
      </c>
      <c r="N193" s="162">
        <v>0.0</v>
      </c>
      <c r="O193" s="82">
        <v>2.60127585E8</v>
      </c>
      <c r="P193" s="82">
        <f>225000000+59446059+281141576</f>
        <v>565587635</v>
      </c>
      <c r="Q193" s="163">
        <f t="shared" si="2"/>
        <v>825715220</v>
      </c>
      <c r="R193" s="164">
        <v>0.0</v>
      </c>
      <c r="S193" s="164">
        <v>0.0</v>
      </c>
      <c r="T193" s="165">
        <f t="shared" si="3"/>
        <v>825715220</v>
      </c>
      <c r="U193" s="83" t="s">
        <v>64</v>
      </c>
      <c r="V193" s="83" t="s">
        <v>64</v>
      </c>
      <c r="W193" s="175"/>
      <c r="X193" s="176">
        <v>45653.0</v>
      </c>
      <c r="Y193" s="176">
        <v>45991.0</v>
      </c>
      <c r="Z193" s="177">
        <v>4.0</v>
      </c>
      <c r="AA193" s="170">
        <v>0.0</v>
      </c>
      <c r="AB193" s="176">
        <v>46111.0</v>
      </c>
      <c r="AC193" s="38">
        <f t="shared" si="4"/>
        <v>-176</v>
      </c>
      <c r="AD193" s="27"/>
      <c r="AE193" s="27"/>
      <c r="AF193" s="27">
        <v>948.0</v>
      </c>
      <c r="AG193" s="27"/>
      <c r="AH193" s="95">
        <f t="shared" si="40"/>
        <v>948</v>
      </c>
      <c r="AI193" s="178">
        <f t="shared" si="65"/>
        <v>948</v>
      </c>
      <c r="AJ193" s="88">
        <f t="shared" si="61"/>
        <v>0</v>
      </c>
      <c r="AK193" s="162"/>
      <c r="AL193" s="162"/>
      <c r="AM193" s="162"/>
      <c r="AN193" s="162"/>
      <c r="AO193" s="162">
        <v>0.0</v>
      </c>
      <c r="AP193" s="178">
        <v>948.0</v>
      </c>
      <c r="AQ193" s="162">
        <v>0.0</v>
      </c>
      <c r="AR193" s="82">
        <f t="shared" si="64"/>
        <v>260127585</v>
      </c>
      <c r="AS193" s="82">
        <v>2.29244742E8</v>
      </c>
      <c r="AT193" s="171">
        <f t="shared" si="63"/>
        <v>1</v>
      </c>
      <c r="AU193" s="171">
        <f t="shared" si="23"/>
        <v>0.8812780928</v>
      </c>
      <c r="AV193" s="23" t="s">
        <v>936</v>
      </c>
      <c r="AW193" s="91"/>
      <c r="AX193" s="43"/>
      <c r="AY193" s="91"/>
      <c r="AZ193" s="92"/>
      <c r="BA193" s="92"/>
      <c r="BB193" s="92"/>
      <c r="BC193" s="102"/>
      <c r="BD193" s="92"/>
      <c r="BE193" s="92"/>
      <c r="BF193" s="93"/>
      <c r="BG193" s="93"/>
      <c r="BH193" s="93"/>
    </row>
    <row r="194" ht="89.25" customHeight="1">
      <c r="A194" s="21">
        <v>193.0</v>
      </c>
      <c r="B194" s="28">
        <v>2024.0</v>
      </c>
      <c r="C194" s="23" t="s">
        <v>428</v>
      </c>
      <c r="D194" s="80" t="s">
        <v>74</v>
      </c>
      <c r="E194" s="23" t="s">
        <v>429</v>
      </c>
      <c r="F194" s="25" t="s">
        <v>937</v>
      </c>
      <c r="G194" s="23" t="s">
        <v>938</v>
      </c>
      <c r="H194" s="23" t="s">
        <v>432</v>
      </c>
      <c r="I194" s="23" t="s">
        <v>78</v>
      </c>
      <c r="J194" s="23" t="s">
        <v>433</v>
      </c>
      <c r="K194" s="23"/>
      <c r="L194" s="23">
        <v>8.0</v>
      </c>
      <c r="M194" s="173">
        <v>1000.0</v>
      </c>
      <c r="N194" s="162">
        <v>0.0</v>
      </c>
      <c r="O194" s="82">
        <v>2.59565648E8</v>
      </c>
      <c r="P194" s="82">
        <f>185000000+57845018+319547764</f>
        <v>562392782</v>
      </c>
      <c r="Q194" s="163">
        <f t="shared" si="2"/>
        <v>821958430</v>
      </c>
      <c r="R194" s="164">
        <v>0.0</v>
      </c>
      <c r="S194" s="164">
        <v>0.0</v>
      </c>
      <c r="T194" s="165">
        <f t="shared" si="3"/>
        <v>821958430</v>
      </c>
      <c r="U194" s="83" t="s">
        <v>64</v>
      </c>
      <c r="V194" s="83" t="s">
        <v>64</v>
      </c>
      <c r="W194" s="175"/>
      <c r="X194" s="176">
        <v>45653.0</v>
      </c>
      <c r="Y194" s="176">
        <v>45991.0</v>
      </c>
      <c r="Z194" s="177">
        <v>4.0</v>
      </c>
      <c r="AA194" s="170">
        <v>0.0</v>
      </c>
      <c r="AB194" s="176">
        <v>46111.0</v>
      </c>
      <c r="AC194" s="38">
        <f t="shared" si="4"/>
        <v>-176</v>
      </c>
      <c r="AD194" s="27"/>
      <c r="AE194" s="27"/>
      <c r="AF194" s="27">
        <v>1000.0</v>
      </c>
      <c r="AG194" s="27"/>
      <c r="AH194" s="95">
        <f t="shared" si="40"/>
        <v>1000</v>
      </c>
      <c r="AI194" s="87">
        <f t="shared" si="65"/>
        <v>1000</v>
      </c>
      <c r="AJ194" s="88">
        <f t="shared" si="61"/>
        <v>0</v>
      </c>
      <c r="AK194" s="162"/>
      <c r="AL194" s="162"/>
      <c r="AM194" s="162"/>
      <c r="AN194" s="162"/>
      <c r="AO194" s="162">
        <v>0.0</v>
      </c>
      <c r="AP194" s="178">
        <v>1000.0</v>
      </c>
      <c r="AQ194" s="162">
        <v>0.0</v>
      </c>
      <c r="AR194" s="82">
        <f t="shared" si="64"/>
        <v>259565648</v>
      </c>
      <c r="AS194" s="82">
        <v>2.29496972E8</v>
      </c>
      <c r="AT194" s="171">
        <f t="shared" si="63"/>
        <v>1</v>
      </c>
      <c r="AU194" s="171">
        <f t="shared" si="23"/>
        <v>0.8841577218</v>
      </c>
      <c r="AV194" s="23" t="s">
        <v>939</v>
      </c>
      <c r="AW194" s="91"/>
      <c r="AX194" s="43"/>
      <c r="AY194" s="91"/>
      <c r="AZ194" s="92"/>
      <c r="BA194" s="92"/>
      <c r="BB194" s="92"/>
      <c r="BC194" s="102"/>
      <c r="BD194" s="92"/>
      <c r="BE194" s="92"/>
      <c r="BF194" s="93"/>
      <c r="BG194" s="93"/>
      <c r="BH194" s="93"/>
    </row>
    <row r="195" ht="89.25" customHeight="1">
      <c r="A195" s="21">
        <v>194.0</v>
      </c>
      <c r="B195" s="28">
        <v>2024.0</v>
      </c>
      <c r="C195" s="23" t="s">
        <v>428</v>
      </c>
      <c r="D195" s="80" t="s">
        <v>74</v>
      </c>
      <c r="E195" s="23" t="s">
        <v>429</v>
      </c>
      <c r="F195" s="25" t="s">
        <v>940</v>
      </c>
      <c r="G195" s="23" t="s">
        <v>461</v>
      </c>
      <c r="H195" s="23" t="s">
        <v>432</v>
      </c>
      <c r="I195" s="23" t="s">
        <v>78</v>
      </c>
      <c r="J195" s="23" t="s">
        <v>433</v>
      </c>
      <c r="K195" s="23"/>
      <c r="L195" s="23">
        <v>8.0</v>
      </c>
      <c r="M195" s="173">
        <v>1000.0</v>
      </c>
      <c r="N195" s="162">
        <v>0.0</v>
      </c>
      <c r="O195" s="82">
        <v>2.6466248E8</v>
      </c>
      <c r="P195" s="82">
        <f>185000000+58716055+316116574</f>
        <v>559832629</v>
      </c>
      <c r="Q195" s="163">
        <f t="shared" si="2"/>
        <v>824495109</v>
      </c>
      <c r="R195" s="164">
        <v>0.0</v>
      </c>
      <c r="S195" s="164">
        <v>0.0</v>
      </c>
      <c r="T195" s="165">
        <f t="shared" si="3"/>
        <v>824495109</v>
      </c>
      <c r="U195" s="83" t="s">
        <v>64</v>
      </c>
      <c r="V195" s="83" t="s">
        <v>64</v>
      </c>
      <c r="W195" s="175"/>
      <c r="X195" s="176">
        <v>45653.0</v>
      </c>
      <c r="Y195" s="176">
        <v>45991.0</v>
      </c>
      <c r="Z195" s="177">
        <v>4.0</v>
      </c>
      <c r="AA195" s="170">
        <v>0.0</v>
      </c>
      <c r="AB195" s="176">
        <v>46111.0</v>
      </c>
      <c r="AC195" s="38">
        <f t="shared" si="4"/>
        <v>-176</v>
      </c>
      <c r="AD195" s="27"/>
      <c r="AE195" s="27"/>
      <c r="AF195" s="27">
        <v>1000.0</v>
      </c>
      <c r="AG195" s="27"/>
      <c r="AH195" s="95">
        <f t="shared" si="40"/>
        <v>1000</v>
      </c>
      <c r="AI195" s="87">
        <f t="shared" si="65"/>
        <v>1000</v>
      </c>
      <c r="AJ195" s="88">
        <f t="shared" si="61"/>
        <v>0</v>
      </c>
      <c r="AK195" s="162"/>
      <c r="AL195" s="162"/>
      <c r="AM195" s="162"/>
      <c r="AN195" s="162"/>
      <c r="AO195" s="162">
        <v>0.0</v>
      </c>
      <c r="AP195" s="178">
        <v>1000.0</v>
      </c>
      <c r="AQ195" s="162">
        <v>0.0</v>
      </c>
      <c r="AR195" s="82">
        <f t="shared" si="64"/>
        <v>264662480</v>
      </c>
      <c r="AS195" s="82">
        <v>2.34059833E8</v>
      </c>
      <c r="AT195" s="171">
        <f t="shared" si="63"/>
        <v>1</v>
      </c>
      <c r="AU195" s="171">
        <f t="shared" si="23"/>
        <v>0.8843710412</v>
      </c>
      <c r="AV195" s="23" t="s">
        <v>941</v>
      </c>
      <c r="AW195" s="91"/>
      <c r="AX195" s="43"/>
      <c r="AY195" s="91"/>
      <c r="AZ195" s="92"/>
      <c r="BA195" s="92"/>
      <c r="BB195" s="92"/>
      <c r="BC195" s="102"/>
      <c r="BD195" s="92"/>
      <c r="BE195" s="92"/>
      <c r="BF195" s="93"/>
      <c r="BG195" s="93"/>
      <c r="BH195" s="93"/>
    </row>
    <row r="196" ht="89.25" customHeight="1">
      <c r="A196" s="21">
        <v>195.0</v>
      </c>
      <c r="B196" s="28">
        <v>2024.0</v>
      </c>
      <c r="C196" s="23" t="s">
        <v>428</v>
      </c>
      <c r="D196" s="80" t="s">
        <v>74</v>
      </c>
      <c r="E196" s="23" t="s">
        <v>429</v>
      </c>
      <c r="F196" s="25" t="s">
        <v>942</v>
      </c>
      <c r="G196" s="23" t="s">
        <v>943</v>
      </c>
      <c r="H196" s="23" t="s">
        <v>432</v>
      </c>
      <c r="I196" s="23" t="s">
        <v>127</v>
      </c>
      <c r="J196" s="23" t="s">
        <v>433</v>
      </c>
      <c r="K196" s="23"/>
      <c r="L196" s="23">
        <v>8.0</v>
      </c>
      <c r="M196" s="173">
        <v>640.0</v>
      </c>
      <c r="N196" s="162">
        <v>0.0</v>
      </c>
      <c r="O196" s="82">
        <v>1.71482627E8</v>
      </c>
      <c r="P196" s="82">
        <f>147184499+37953186+225933795</f>
        <v>411071480</v>
      </c>
      <c r="Q196" s="163">
        <f t="shared" si="2"/>
        <v>582554107</v>
      </c>
      <c r="R196" s="164">
        <v>0.0</v>
      </c>
      <c r="S196" s="164">
        <v>0.0</v>
      </c>
      <c r="T196" s="165">
        <f t="shared" si="3"/>
        <v>582554107</v>
      </c>
      <c r="U196" s="83" t="s">
        <v>64</v>
      </c>
      <c r="V196" s="83" t="s">
        <v>64</v>
      </c>
      <c r="W196" s="175"/>
      <c r="X196" s="176">
        <v>45653.0</v>
      </c>
      <c r="Y196" s="176">
        <v>45991.0</v>
      </c>
      <c r="Z196" s="177">
        <v>4.0</v>
      </c>
      <c r="AA196" s="170">
        <v>0.0</v>
      </c>
      <c r="AB196" s="176">
        <v>46111.0</v>
      </c>
      <c r="AC196" s="38">
        <f t="shared" si="4"/>
        <v>-176</v>
      </c>
      <c r="AD196" s="27"/>
      <c r="AE196" s="27"/>
      <c r="AF196" s="27">
        <v>640.0</v>
      </c>
      <c r="AG196" s="27"/>
      <c r="AH196" s="95">
        <f t="shared" si="40"/>
        <v>640</v>
      </c>
      <c r="AI196" s="178">
        <f t="shared" si="65"/>
        <v>640</v>
      </c>
      <c r="AJ196" s="88">
        <f t="shared" si="61"/>
        <v>0</v>
      </c>
      <c r="AK196" s="162"/>
      <c r="AL196" s="162"/>
      <c r="AM196" s="162"/>
      <c r="AN196" s="162"/>
      <c r="AO196" s="162">
        <v>0.0</v>
      </c>
      <c r="AP196" s="178">
        <v>640.0</v>
      </c>
      <c r="AQ196" s="162">
        <v>0.0</v>
      </c>
      <c r="AR196" s="82">
        <f t="shared" si="64"/>
        <v>171482627</v>
      </c>
      <c r="AS196" s="82">
        <v>1.5097177E8</v>
      </c>
      <c r="AT196" s="171">
        <f t="shared" si="63"/>
        <v>1</v>
      </c>
      <c r="AU196" s="171">
        <f t="shared" si="23"/>
        <v>0.8803910498</v>
      </c>
      <c r="AV196" s="103" t="s">
        <v>944</v>
      </c>
      <c r="AW196" s="91"/>
      <c r="AX196" s="43"/>
      <c r="AY196" s="91"/>
      <c r="AZ196" s="92"/>
      <c r="BA196" s="92"/>
      <c r="BB196" s="92"/>
      <c r="BC196" s="102"/>
      <c r="BD196" s="92"/>
      <c r="BE196" s="92"/>
      <c r="BF196" s="93"/>
      <c r="BG196" s="93"/>
      <c r="BH196" s="93"/>
    </row>
    <row r="197" ht="89.25" customHeight="1">
      <c r="A197" s="21">
        <v>196.0</v>
      </c>
      <c r="B197" s="28">
        <v>2024.0</v>
      </c>
      <c r="C197" s="23" t="s">
        <v>428</v>
      </c>
      <c r="D197" s="80" t="s">
        <v>74</v>
      </c>
      <c r="E197" s="23" t="s">
        <v>429</v>
      </c>
      <c r="F197" s="25" t="s">
        <v>945</v>
      </c>
      <c r="G197" s="23" t="s">
        <v>946</v>
      </c>
      <c r="H197" s="23" t="s">
        <v>432</v>
      </c>
      <c r="I197" s="23" t="s">
        <v>78</v>
      </c>
      <c r="J197" s="23" t="s">
        <v>433</v>
      </c>
      <c r="K197" s="23"/>
      <c r="L197" s="23">
        <v>8.0</v>
      </c>
      <c r="M197" s="173">
        <v>1000.0</v>
      </c>
      <c r="N197" s="162">
        <v>0.0</v>
      </c>
      <c r="O197" s="82">
        <v>2.70962776E8</v>
      </c>
      <c r="P197" s="82">
        <f>185000000+56577010+358780333</f>
        <v>600357343</v>
      </c>
      <c r="Q197" s="163">
        <f t="shared" si="2"/>
        <v>871320119</v>
      </c>
      <c r="R197" s="164">
        <v>0.0</v>
      </c>
      <c r="S197" s="164">
        <v>0.0</v>
      </c>
      <c r="T197" s="165">
        <f t="shared" si="3"/>
        <v>871320119</v>
      </c>
      <c r="U197" s="83" t="s">
        <v>64</v>
      </c>
      <c r="V197" s="83" t="s">
        <v>64</v>
      </c>
      <c r="W197" s="175"/>
      <c r="X197" s="176">
        <v>45653.0</v>
      </c>
      <c r="Y197" s="176">
        <v>45991.0</v>
      </c>
      <c r="Z197" s="177">
        <v>4.0</v>
      </c>
      <c r="AA197" s="170">
        <v>0.0</v>
      </c>
      <c r="AB197" s="176">
        <v>46111.0</v>
      </c>
      <c r="AC197" s="38">
        <f t="shared" si="4"/>
        <v>-176</v>
      </c>
      <c r="AD197" s="27"/>
      <c r="AE197" s="27"/>
      <c r="AF197" s="27">
        <v>1000.0</v>
      </c>
      <c r="AG197" s="27"/>
      <c r="AH197" s="95">
        <f t="shared" si="40"/>
        <v>1000</v>
      </c>
      <c r="AI197" s="87">
        <f t="shared" si="65"/>
        <v>1000</v>
      </c>
      <c r="AJ197" s="88">
        <f t="shared" si="61"/>
        <v>0</v>
      </c>
      <c r="AK197" s="162"/>
      <c r="AL197" s="162"/>
      <c r="AM197" s="162"/>
      <c r="AN197" s="162"/>
      <c r="AO197" s="162">
        <v>0.0</v>
      </c>
      <c r="AP197" s="178">
        <v>1000.0</v>
      </c>
      <c r="AQ197" s="162">
        <v>0.0</v>
      </c>
      <c r="AR197" s="82">
        <f t="shared" si="64"/>
        <v>270962776</v>
      </c>
      <c r="AS197" s="82">
        <v>2.44419538E8</v>
      </c>
      <c r="AT197" s="171">
        <f t="shared" si="63"/>
        <v>1</v>
      </c>
      <c r="AU197" s="171">
        <f t="shared" si="23"/>
        <v>0.9020410169</v>
      </c>
      <c r="AV197" s="103" t="s">
        <v>947</v>
      </c>
      <c r="AW197" s="91"/>
      <c r="AX197" s="43"/>
      <c r="AY197" s="91"/>
      <c r="AZ197" s="92"/>
      <c r="BA197" s="92"/>
      <c r="BB197" s="92"/>
      <c r="BC197" s="102"/>
      <c r="BD197" s="92"/>
      <c r="BE197" s="92"/>
      <c r="BF197" s="93"/>
      <c r="BG197" s="93"/>
      <c r="BH197" s="93"/>
    </row>
    <row r="198" ht="89.25" customHeight="1">
      <c r="A198" s="21">
        <v>197.0</v>
      </c>
      <c r="B198" s="28">
        <v>2024.0</v>
      </c>
      <c r="C198" s="23" t="s">
        <v>428</v>
      </c>
      <c r="D198" s="80" t="s">
        <v>74</v>
      </c>
      <c r="E198" s="23" t="s">
        <v>429</v>
      </c>
      <c r="F198" s="25" t="s">
        <v>948</v>
      </c>
      <c r="G198" s="23" t="s">
        <v>949</v>
      </c>
      <c r="H198" s="23" t="s">
        <v>432</v>
      </c>
      <c r="I198" s="23" t="s">
        <v>78</v>
      </c>
      <c r="J198" s="23" t="s">
        <v>433</v>
      </c>
      <c r="K198" s="23"/>
      <c r="L198" s="23">
        <v>8.0</v>
      </c>
      <c r="M198" s="173">
        <v>1000.0</v>
      </c>
      <c r="N198" s="162">
        <v>0.0</v>
      </c>
      <c r="O198" s="82">
        <v>2.76024779E8</v>
      </c>
      <c r="P198" s="82">
        <f>225000000+57361300+399928807</f>
        <v>682290107</v>
      </c>
      <c r="Q198" s="163">
        <f t="shared" si="2"/>
        <v>958314886</v>
      </c>
      <c r="R198" s="164">
        <v>0.0</v>
      </c>
      <c r="S198" s="164">
        <v>0.0</v>
      </c>
      <c r="T198" s="165">
        <f t="shared" si="3"/>
        <v>958314886</v>
      </c>
      <c r="U198" s="83" t="s">
        <v>64</v>
      </c>
      <c r="V198" s="83" t="s">
        <v>64</v>
      </c>
      <c r="W198" s="175"/>
      <c r="X198" s="176">
        <v>45653.0</v>
      </c>
      <c r="Y198" s="176">
        <v>45991.0</v>
      </c>
      <c r="Z198" s="177">
        <v>4.0</v>
      </c>
      <c r="AA198" s="170">
        <v>0.0</v>
      </c>
      <c r="AB198" s="176">
        <v>46111.0</v>
      </c>
      <c r="AC198" s="38">
        <f t="shared" si="4"/>
        <v>-176</v>
      </c>
      <c r="AD198" s="27"/>
      <c r="AE198" s="27"/>
      <c r="AF198" s="27">
        <v>1000.0</v>
      </c>
      <c r="AG198" s="27"/>
      <c r="AH198" s="95">
        <f t="shared" si="40"/>
        <v>1000</v>
      </c>
      <c r="AI198" s="87">
        <f t="shared" si="65"/>
        <v>1000</v>
      </c>
      <c r="AJ198" s="88">
        <f t="shared" si="61"/>
        <v>0</v>
      </c>
      <c r="AK198" s="162"/>
      <c r="AL198" s="162"/>
      <c r="AM198" s="162"/>
      <c r="AN198" s="162"/>
      <c r="AO198" s="162">
        <v>0.0</v>
      </c>
      <c r="AP198" s="178">
        <v>1000.0</v>
      </c>
      <c r="AQ198" s="162">
        <v>0.0</v>
      </c>
      <c r="AR198" s="82">
        <f t="shared" si="64"/>
        <v>276024779</v>
      </c>
      <c r="AS198" s="82">
        <v>2.42914037E8</v>
      </c>
      <c r="AT198" s="171">
        <f t="shared" si="63"/>
        <v>1</v>
      </c>
      <c r="AU198" s="171">
        <f t="shared" si="23"/>
        <v>0.880044313</v>
      </c>
      <c r="AV198" s="23" t="s">
        <v>950</v>
      </c>
      <c r="AW198" s="91"/>
      <c r="AX198" s="43"/>
      <c r="AY198" s="91"/>
      <c r="AZ198" s="92"/>
      <c r="BA198" s="92"/>
      <c r="BB198" s="92"/>
      <c r="BC198" s="102"/>
      <c r="BD198" s="92"/>
      <c r="BE198" s="92"/>
      <c r="BF198" s="93"/>
      <c r="BG198" s="93"/>
      <c r="BH198" s="93"/>
    </row>
    <row r="199" ht="89.25" customHeight="1">
      <c r="A199" s="21">
        <v>198.0</v>
      </c>
      <c r="B199" s="22">
        <v>2023.0</v>
      </c>
      <c r="C199" s="23" t="s">
        <v>150</v>
      </c>
      <c r="D199" s="80" t="s">
        <v>74</v>
      </c>
      <c r="E199" s="23" t="s">
        <v>951</v>
      </c>
      <c r="F199" s="25">
        <v>4.600016231E9</v>
      </c>
      <c r="G199" s="23" t="s">
        <v>935</v>
      </c>
      <c r="H199" s="23" t="str">
        <f t="shared" ref="H199:H246" si="66">G199</f>
        <v>PUEBLORRICO</v>
      </c>
      <c r="I199" s="23" t="s">
        <v>78</v>
      </c>
      <c r="J199" s="365" t="s">
        <v>952</v>
      </c>
      <c r="K199" s="172" t="s">
        <v>953</v>
      </c>
      <c r="L199" s="23">
        <v>17.4</v>
      </c>
      <c r="M199" s="161">
        <v>2100.0</v>
      </c>
      <c r="N199" s="162">
        <v>0.0</v>
      </c>
      <c r="O199" s="105">
        <v>2.61878185E9</v>
      </c>
      <c r="P199" s="105">
        <v>6.42952772E8</v>
      </c>
      <c r="Q199" s="163">
        <f t="shared" si="2"/>
        <v>3261734622</v>
      </c>
      <c r="R199" s="164">
        <v>5.24950402E8</v>
      </c>
      <c r="S199" s="164">
        <v>1.5E7</v>
      </c>
      <c r="T199" s="165">
        <f t="shared" si="3"/>
        <v>3801685024</v>
      </c>
      <c r="U199" s="83" t="s">
        <v>64</v>
      </c>
      <c r="V199" s="83" t="s">
        <v>64</v>
      </c>
      <c r="W199" s="175"/>
      <c r="X199" s="243">
        <v>45139.0</v>
      </c>
      <c r="Y199" s="243">
        <v>45413.0</v>
      </c>
      <c r="Z199" s="177">
        <v>7.0</v>
      </c>
      <c r="AA199" s="160">
        <v>1.5</v>
      </c>
      <c r="AB199" s="243">
        <v>45671.0</v>
      </c>
      <c r="AC199" s="38">
        <f t="shared" si="4"/>
        <v>-616</v>
      </c>
      <c r="AD199" s="27">
        <v>1365.0</v>
      </c>
      <c r="AE199" s="27"/>
      <c r="AF199" s="27"/>
      <c r="AG199" s="27"/>
      <c r="AH199" s="95">
        <f t="shared" si="40"/>
        <v>1365</v>
      </c>
      <c r="AI199" s="173">
        <v>1365.0</v>
      </c>
      <c r="AJ199" s="88">
        <f t="shared" si="61"/>
        <v>0</v>
      </c>
      <c r="AK199" s="162"/>
      <c r="AL199" s="162"/>
      <c r="AM199" s="162"/>
      <c r="AN199" s="162"/>
      <c r="AO199" s="162">
        <v>0.0</v>
      </c>
      <c r="AP199" s="251">
        <v>1682.0</v>
      </c>
      <c r="AQ199" s="162">
        <v>0.0</v>
      </c>
      <c r="AR199" s="82">
        <f t="shared" si="64"/>
        <v>3143732252</v>
      </c>
      <c r="AS199" s="105">
        <v>1.754056587E9</v>
      </c>
      <c r="AT199" s="171">
        <f t="shared" si="63"/>
        <v>0.800952381</v>
      </c>
      <c r="AU199" s="171">
        <f t="shared" si="23"/>
        <v>0.5579535553</v>
      </c>
      <c r="AV199" s="23" t="s">
        <v>954</v>
      </c>
      <c r="AW199" s="91"/>
      <c r="AX199" s="43"/>
      <c r="AY199" s="91"/>
      <c r="AZ199" s="92"/>
      <c r="BA199" s="92"/>
      <c r="BB199" s="92"/>
      <c r="BC199" s="102"/>
      <c r="BD199" s="92"/>
      <c r="BE199" s="92"/>
      <c r="BF199" s="93"/>
      <c r="BG199" s="93"/>
      <c r="BH199" s="93"/>
    </row>
    <row r="200" ht="89.25" customHeight="1">
      <c r="A200" s="50">
        <v>199.0</v>
      </c>
      <c r="B200" s="51">
        <v>2023.0</v>
      </c>
      <c r="C200" s="120" t="s">
        <v>150</v>
      </c>
      <c r="D200" s="185" t="s">
        <v>74</v>
      </c>
      <c r="E200" s="184" t="s">
        <v>75</v>
      </c>
      <c r="F200" s="53" t="s">
        <v>955</v>
      </c>
      <c r="G200" s="184" t="s">
        <v>935</v>
      </c>
      <c r="H200" s="184" t="str">
        <f t="shared" si="66"/>
        <v>PUEBLORRICO</v>
      </c>
      <c r="I200" s="184" t="s">
        <v>78</v>
      </c>
      <c r="J200" s="186" t="s">
        <v>952</v>
      </c>
      <c r="K200" s="186" t="s">
        <v>956</v>
      </c>
      <c r="L200" s="186">
        <v>4.9</v>
      </c>
      <c r="M200" s="245">
        <v>500.0</v>
      </c>
      <c r="N200" s="187">
        <v>0.0</v>
      </c>
      <c r="O200" s="247">
        <v>1.61260743E8</v>
      </c>
      <c r="P200" s="113">
        <v>0.0</v>
      </c>
      <c r="Q200" s="188">
        <f t="shared" si="2"/>
        <v>161260743</v>
      </c>
      <c r="R200" s="114">
        <v>0.0</v>
      </c>
      <c r="S200" s="114">
        <v>0.0</v>
      </c>
      <c r="T200" s="190">
        <f t="shared" si="3"/>
        <v>161260743</v>
      </c>
      <c r="U200" s="221" t="s">
        <v>220</v>
      </c>
      <c r="V200" s="221" t="s">
        <v>220</v>
      </c>
      <c r="W200" s="192"/>
      <c r="X200" s="248">
        <v>45104.0</v>
      </c>
      <c r="Y200" s="248">
        <v>45318.0</v>
      </c>
      <c r="Z200" s="194">
        <v>0.0</v>
      </c>
      <c r="AA200" s="200">
        <v>0.0</v>
      </c>
      <c r="AB200" s="248">
        <v>45318.0</v>
      </c>
      <c r="AC200" s="66">
        <f t="shared" si="4"/>
        <v>-969</v>
      </c>
      <c r="AD200" s="55"/>
      <c r="AE200" s="55"/>
      <c r="AF200" s="55"/>
      <c r="AG200" s="55"/>
      <c r="AH200" s="86">
        <f t="shared" si="40"/>
        <v>0</v>
      </c>
      <c r="AI200" s="178">
        <v>0.0</v>
      </c>
      <c r="AJ200" s="88">
        <f t="shared" si="61"/>
        <v>0</v>
      </c>
      <c r="AK200" s="187"/>
      <c r="AL200" s="187"/>
      <c r="AM200" s="187"/>
      <c r="AN200" s="187"/>
      <c r="AO200" s="187">
        <v>0.0</v>
      </c>
      <c r="AP200" s="178">
        <v>0.0</v>
      </c>
      <c r="AQ200" s="187">
        <v>0.0</v>
      </c>
      <c r="AR200" s="113">
        <f t="shared" si="64"/>
        <v>161260743</v>
      </c>
      <c r="AS200" s="113">
        <v>0.0</v>
      </c>
      <c r="AT200" s="198">
        <f t="shared" si="63"/>
        <v>0</v>
      </c>
      <c r="AU200" s="198">
        <f t="shared" si="23"/>
        <v>0</v>
      </c>
      <c r="AV200" s="184" t="s">
        <v>957</v>
      </c>
      <c r="AW200" s="74"/>
      <c r="AX200" s="214">
        <v>46083.0</v>
      </c>
      <c r="AY200" s="215" t="s">
        <v>958</v>
      </c>
      <c r="AZ200" s="76"/>
      <c r="BA200" s="76"/>
      <c r="BB200" s="76"/>
      <c r="BC200" s="209"/>
      <c r="BD200" s="76"/>
      <c r="BE200" s="76"/>
    </row>
    <row r="201" ht="89.25" customHeight="1">
      <c r="A201" s="50">
        <v>200.0</v>
      </c>
      <c r="B201" s="51">
        <v>2023.0</v>
      </c>
      <c r="C201" s="120" t="s">
        <v>150</v>
      </c>
      <c r="D201" s="52" t="s">
        <v>118</v>
      </c>
      <c r="E201" s="184" t="s">
        <v>951</v>
      </c>
      <c r="F201" s="53">
        <v>4.6000162E9</v>
      </c>
      <c r="G201" s="184" t="s">
        <v>799</v>
      </c>
      <c r="H201" s="184" t="str">
        <f t="shared" si="66"/>
        <v>LA PINTADA</v>
      </c>
      <c r="I201" s="184" t="s">
        <v>78</v>
      </c>
      <c r="J201" s="186" t="s">
        <v>959</v>
      </c>
      <c r="K201" s="186" t="s">
        <v>960</v>
      </c>
      <c r="L201" s="186">
        <v>6.0</v>
      </c>
      <c r="M201" s="245">
        <v>595.0</v>
      </c>
      <c r="N201" s="187">
        <v>0.0</v>
      </c>
      <c r="O201" s="247">
        <v>1.167612315E9</v>
      </c>
      <c r="P201" s="247">
        <v>2.91903079E8</v>
      </c>
      <c r="Q201" s="188">
        <f t="shared" si="2"/>
        <v>1459515394</v>
      </c>
      <c r="R201" s="114">
        <v>0.0</v>
      </c>
      <c r="S201" s="114">
        <v>0.0</v>
      </c>
      <c r="T201" s="190">
        <f t="shared" si="3"/>
        <v>1459515394</v>
      </c>
      <c r="U201" s="221" t="s">
        <v>220</v>
      </c>
      <c r="V201" s="221" t="s">
        <v>220</v>
      </c>
      <c r="W201" s="192"/>
      <c r="X201" s="248">
        <v>45135.0</v>
      </c>
      <c r="Y201" s="248">
        <v>45302.0</v>
      </c>
      <c r="Z201" s="194">
        <v>0.0</v>
      </c>
      <c r="AA201" s="200">
        <v>0.0</v>
      </c>
      <c r="AB201" s="193">
        <v>45319.0</v>
      </c>
      <c r="AC201" s="66">
        <f t="shared" si="4"/>
        <v>-968</v>
      </c>
      <c r="AD201" s="55"/>
      <c r="AE201" s="55"/>
      <c r="AF201" s="55"/>
      <c r="AG201" s="55"/>
      <c r="AH201" s="86">
        <f t="shared" si="40"/>
        <v>0</v>
      </c>
      <c r="AI201" s="223">
        <v>0.0</v>
      </c>
      <c r="AJ201" s="187"/>
      <c r="AK201" s="187"/>
      <c r="AL201" s="187"/>
      <c r="AM201" s="187"/>
      <c r="AN201" s="187"/>
      <c r="AO201" s="187">
        <v>0.0</v>
      </c>
      <c r="AP201" s="251">
        <v>595.0</v>
      </c>
      <c r="AQ201" s="187">
        <v>0.0</v>
      </c>
      <c r="AR201" s="113">
        <f t="shared" si="64"/>
        <v>1167612315</v>
      </c>
      <c r="AS201" s="247">
        <v>1.167612315E9</v>
      </c>
      <c r="AT201" s="224">
        <f t="shared" si="63"/>
        <v>1</v>
      </c>
      <c r="AU201" s="224">
        <f t="shared" si="23"/>
        <v>1</v>
      </c>
      <c r="AV201" s="184" t="s">
        <v>961</v>
      </c>
      <c r="AW201" s="74"/>
      <c r="AX201" s="366">
        <v>46086.0</v>
      </c>
      <c r="AY201" s="215" t="s">
        <v>273</v>
      </c>
      <c r="AZ201" s="76"/>
      <c r="BA201" s="76"/>
      <c r="BB201" s="76"/>
      <c r="BC201" s="209"/>
      <c r="BD201" s="76"/>
      <c r="BE201" s="76"/>
    </row>
    <row r="202" ht="89.25" customHeight="1">
      <c r="A202" s="50">
        <v>201.0</v>
      </c>
      <c r="B202" s="51">
        <v>2023.0</v>
      </c>
      <c r="C202" s="120" t="s">
        <v>150</v>
      </c>
      <c r="D202" s="52" t="s">
        <v>74</v>
      </c>
      <c r="E202" s="184" t="s">
        <v>75</v>
      </c>
      <c r="F202" s="53" t="s">
        <v>962</v>
      </c>
      <c r="G202" s="184" t="s">
        <v>963</v>
      </c>
      <c r="H202" s="184" t="str">
        <f t="shared" si="66"/>
        <v>CARAMANTA</v>
      </c>
      <c r="I202" s="184" t="s">
        <v>78</v>
      </c>
      <c r="J202" s="186" t="s">
        <v>964</v>
      </c>
      <c r="K202" s="186" t="s">
        <v>965</v>
      </c>
      <c r="L202" s="186">
        <v>10.0</v>
      </c>
      <c r="M202" s="245">
        <v>1000.0</v>
      </c>
      <c r="N202" s="187">
        <v>0.0</v>
      </c>
      <c r="O202" s="247">
        <v>2.99700524E8</v>
      </c>
      <c r="P202" s="113">
        <v>0.0</v>
      </c>
      <c r="Q202" s="188">
        <f t="shared" si="2"/>
        <v>299700524</v>
      </c>
      <c r="R202" s="114">
        <v>0.0</v>
      </c>
      <c r="S202" s="114">
        <v>0.0</v>
      </c>
      <c r="T202" s="190">
        <f t="shared" si="3"/>
        <v>299700524</v>
      </c>
      <c r="U202" s="221" t="s">
        <v>220</v>
      </c>
      <c r="V202" s="221" t="s">
        <v>220</v>
      </c>
      <c r="W202" s="192"/>
      <c r="X202" s="248">
        <v>45015.0</v>
      </c>
      <c r="Y202" s="248">
        <v>45302.0</v>
      </c>
      <c r="Z202" s="194">
        <v>0.0</v>
      </c>
      <c r="AA202" s="200">
        <v>0.0</v>
      </c>
      <c r="AB202" s="248">
        <v>45321.0</v>
      </c>
      <c r="AC202" s="66">
        <f t="shared" si="4"/>
        <v>-966</v>
      </c>
      <c r="AD202" s="55"/>
      <c r="AE202" s="55"/>
      <c r="AF202" s="55"/>
      <c r="AG202" s="55"/>
      <c r="AH202" s="95">
        <f t="shared" si="40"/>
        <v>0</v>
      </c>
      <c r="AI202" s="178">
        <v>0.0</v>
      </c>
      <c r="AJ202" s="88">
        <f t="shared" ref="AJ202:AJ266" si="67">AH202-AI202</f>
        <v>0</v>
      </c>
      <c r="AK202" s="187"/>
      <c r="AL202" s="187"/>
      <c r="AM202" s="187"/>
      <c r="AN202" s="187"/>
      <c r="AO202" s="187">
        <v>0.0</v>
      </c>
      <c r="AP202" s="178">
        <v>1000.0</v>
      </c>
      <c r="AQ202" s="187">
        <v>0.0</v>
      </c>
      <c r="AR202" s="113">
        <f t="shared" si="64"/>
        <v>299700524</v>
      </c>
      <c r="AS202" s="247">
        <v>2.99673812E8</v>
      </c>
      <c r="AT202" s="198">
        <f t="shared" si="63"/>
        <v>1</v>
      </c>
      <c r="AU202" s="198">
        <f t="shared" si="23"/>
        <v>0.999910871</v>
      </c>
      <c r="AV202" s="184" t="s">
        <v>966</v>
      </c>
      <c r="AW202" s="74"/>
      <c r="AX202" s="366">
        <v>46217.0</v>
      </c>
      <c r="AY202" s="215" t="s">
        <v>273</v>
      </c>
      <c r="AZ202" s="76"/>
      <c r="BA202" s="76"/>
      <c r="BB202" s="76"/>
      <c r="BC202" s="209"/>
      <c r="BD202" s="76"/>
      <c r="BE202" s="76"/>
    </row>
    <row r="203" ht="89.25" customHeight="1">
      <c r="A203" s="50">
        <v>202.0</v>
      </c>
      <c r="B203" s="51">
        <v>2023.0</v>
      </c>
      <c r="C203" s="120" t="s">
        <v>150</v>
      </c>
      <c r="D203" s="52" t="s">
        <v>74</v>
      </c>
      <c r="E203" s="184" t="s">
        <v>75</v>
      </c>
      <c r="F203" s="53">
        <v>4.600016152E9</v>
      </c>
      <c r="G203" s="184" t="s">
        <v>963</v>
      </c>
      <c r="H203" s="184" t="str">
        <f t="shared" si="66"/>
        <v>CARAMANTA</v>
      </c>
      <c r="I203" s="184" t="s">
        <v>78</v>
      </c>
      <c r="J203" s="186" t="s">
        <v>967</v>
      </c>
      <c r="K203" s="186" t="s">
        <v>968</v>
      </c>
      <c r="L203" s="186">
        <v>6.0</v>
      </c>
      <c r="M203" s="245">
        <v>5000.0</v>
      </c>
      <c r="N203" s="187">
        <v>0.0</v>
      </c>
      <c r="O203" s="247">
        <f>1500000000+1612696927</f>
        <v>3112696927</v>
      </c>
      <c r="P203" s="247">
        <f>1773412842+350000000</f>
        <v>2123412842</v>
      </c>
      <c r="Q203" s="188">
        <f t="shared" si="2"/>
        <v>5236109769</v>
      </c>
      <c r="R203" s="114">
        <v>0.0</v>
      </c>
      <c r="S203" s="114">
        <v>0.0</v>
      </c>
      <c r="T203" s="190">
        <f t="shared" si="3"/>
        <v>5236109769</v>
      </c>
      <c r="U203" s="221" t="s">
        <v>220</v>
      </c>
      <c r="V203" s="221" t="s">
        <v>220</v>
      </c>
      <c r="W203" s="192"/>
      <c r="X203" s="248">
        <v>45118.0</v>
      </c>
      <c r="Y203" s="248">
        <v>45302.0</v>
      </c>
      <c r="Z203" s="194">
        <v>0.0</v>
      </c>
      <c r="AA203" s="200">
        <v>0.0</v>
      </c>
      <c r="AB203" s="248">
        <v>45302.0</v>
      </c>
      <c r="AC203" s="66">
        <f t="shared" si="4"/>
        <v>-985</v>
      </c>
      <c r="AD203" s="55"/>
      <c r="AE203" s="55"/>
      <c r="AF203" s="55"/>
      <c r="AG203" s="55"/>
      <c r="AH203" s="95">
        <f t="shared" si="40"/>
        <v>0</v>
      </c>
      <c r="AI203" s="178">
        <v>0.0</v>
      </c>
      <c r="AJ203" s="88">
        <f t="shared" si="67"/>
        <v>0</v>
      </c>
      <c r="AK203" s="187"/>
      <c r="AL203" s="187"/>
      <c r="AM203" s="187"/>
      <c r="AN203" s="187"/>
      <c r="AO203" s="187">
        <v>0.0</v>
      </c>
      <c r="AP203" s="178">
        <v>5000.0</v>
      </c>
      <c r="AQ203" s="187">
        <v>0.0</v>
      </c>
      <c r="AR203" s="113">
        <f t="shared" si="64"/>
        <v>3112696927</v>
      </c>
      <c r="AS203" s="247">
        <v>2.762789836E9</v>
      </c>
      <c r="AT203" s="198">
        <f t="shared" si="63"/>
        <v>1</v>
      </c>
      <c r="AU203" s="198">
        <f t="shared" si="23"/>
        <v>0.8875871634</v>
      </c>
      <c r="AV203" s="184" t="s">
        <v>969</v>
      </c>
      <c r="AW203" s="215" t="s">
        <v>970</v>
      </c>
      <c r="AX203" s="366">
        <v>46203.0</v>
      </c>
      <c r="AY203" s="215" t="s">
        <v>958</v>
      </c>
      <c r="AZ203" s="76"/>
      <c r="BA203" s="76"/>
      <c r="BB203" s="76"/>
      <c r="BC203" s="209"/>
      <c r="BD203" s="210" t="s">
        <v>274</v>
      </c>
      <c r="BE203" s="366">
        <v>46101.0</v>
      </c>
    </row>
    <row r="204" ht="89.25" customHeight="1">
      <c r="A204" s="21">
        <v>203.0</v>
      </c>
      <c r="B204" s="22">
        <v>2023.0</v>
      </c>
      <c r="C204" s="120" t="s">
        <v>150</v>
      </c>
      <c r="D204" s="80" t="s">
        <v>74</v>
      </c>
      <c r="E204" s="23" t="s">
        <v>75</v>
      </c>
      <c r="F204" s="25" t="s">
        <v>971</v>
      </c>
      <c r="G204" s="23" t="s">
        <v>946</v>
      </c>
      <c r="H204" s="23" t="str">
        <f t="shared" si="66"/>
        <v>VENECIA</v>
      </c>
      <c r="I204" s="23" t="s">
        <v>78</v>
      </c>
      <c r="J204" s="172" t="s">
        <v>972</v>
      </c>
      <c r="K204" s="172" t="s">
        <v>973</v>
      </c>
      <c r="L204" s="172">
        <v>7.0</v>
      </c>
      <c r="M204" s="173">
        <v>560.0</v>
      </c>
      <c r="N204" s="162">
        <v>0.0</v>
      </c>
      <c r="O204" s="105">
        <v>1.80463424E8</v>
      </c>
      <c r="P204" s="82">
        <v>0.0</v>
      </c>
      <c r="Q204" s="163">
        <f t="shared" si="2"/>
        <v>180463424</v>
      </c>
      <c r="R204" s="135">
        <v>0.0</v>
      </c>
      <c r="S204" s="135">
        <v>0.0</v>
      </c>
      <c r="T204" s="165">
        <f t="shared" si="3"/>
        <v>180463424</v>
      </c>
      <c r="U204" s="83" t="s">
        <v>220</v>
      </c>
      <c r="V204" s="83" t="s">
        <v>220</v>
      </c>
      <c r="W204" s="175"/>
      <c r="X204" s="243">
        <v>45111.0</v>
      </c>
      <c r="Y204" s="243">
        <v>45326.0</v>
      </c>
      <c r="Z204" s="177">
        <v>0.0</v>
      </c>
      <c r="AA204" s="160">
        <v>0.0</v>
      </c>
      <c r="AB204" s="243">
        <v>45326.0</v>
      </c>
      <c r="AC204" s="38">
        <f t="shared" si="4"/>
        <v>-961</v>
      </c>
      <c r="AD204" s="27"/>
      <c r="AE204" s="27"/>
      <c r="AF204" s="27"/>
      <c r="AG204" s="27"/>
      <c r="AH204" s="95">
        <f t="shared" si="40"/>
        <v>0</v>
      </c>
      <c r="AI204" s="178">
        <v>0.0</v>
      </c>
      <c r="AJ204" s="88">
        <f t="shared" si="67"/>
        <v>0</v>
      </c>
      <c r="AK204" s="162"/>
      <c r="AL204" s="162"/>
      <c r="AM204" s="162"/>
      <c r="AN204" s="162"/>
      <c r="AO204" s="162">
        <v>0.0</v>
      </c>
      <c r="AP204" s="178">
        <v>560.0</v>
      </c>
      <c r="AQ204" s="162">
        <v>0.0</v>
      </c>
      <c r="AR204" s="82">
        <f t="shared" si="64"/>
        <v>180463424</v>
      </c>
      <c r="AS204" s="105">
        <v>1.78139664E8</v>
      </c>
      <c r="AT204" s="171">
        <f t="shared" si="63"/>
        <v>1</v>
      </c>
      <c r="AU204" s="171">
        <f t="shared" si="23"/>
        <v>0.9871233741</v>
      </c>
      <c r="AV204" s="23" t="s">
        <v>974</v>
      </c>
      <c r="AW204" s="91"/>
      <c r="AX204" s="182">
        <v>46237.0</v>
      </c>
      <c r="AY204" s="42" t="s">
        <v>273</v>
      </c>
      <c r="AZ204" s="44" t="s">
        <v>68</v>
      </c>
      <c r="BA204" s="44" t="s">
        <v>68</v>
      </c>
      <c r="BB204" s="45" t="s">
        <v>68</v>
      </c>
      <c r="BC204" s="102"/>
      <c r="BD204" s="44" t="s">
        <v>274</v>
      </c>
      <c r="BE204" s="367">
        <v>46255.0</v>
      </c>
      <c r="BF204" s="93"/>
      <c r="BG204" s="93"/>
      <c r="BH204" s="93"/>
    </row>
    <row r="205" ht="89.25" customHeight="1">
      <c r="A205" s="50">
        <v>204.0</v>
      </c>
      <c r="B205" s="51">
        <v>2023.0</v>
      </c>
      <c r="C205" s="120" t="s">
        <v>150</v>
      </c>
      <c r="D205" s="185" t="s">
        <v>74</v>
      </c>
      <c r="E205" s="184" t="s">
        <v>75</v>
      </c>
      <c r="F205" s="53" t="s">
        <v>975</v>
      </c>
      <c r="G205" s="184" t="s">
        <v>487</v>
      </c>
      <c r="H205" s="184" t="str">
        <f t="shared" si="66"/>
        <v>TAMESIS</v>
      </c>
      <c r="I205" s="184" t="s">
        <v>78</v>
      </c>
      <c r="J205" s="184" t="s">
        <v>976</v>
      </c>
      <c r="K205" s="184" t="s">
        <v>977</v>
      </c>
      <c r="L205" s="186">
        <v>14.0</v>
      </c>
      <c r="M205" s="245">
        <v>1700.0</v>
      </c>
      <c r="N205" s="187">
        <v>0.0</v>
      </c>
      <c r="O205" s="247">
        <v>5.09354761E8</v>
      </c>
      <c r="P205" s="113">
        <v>0.0</v>
      </c>
      <c r="Q205" s="188">
        <f t="shared" si="2"/>
        <v>509354761</v>
      </c>
      <c r="R205" s="114">
        <v>0.0</v>
      </c>
      <c r="S205" s="114">
        <v>0.0</v>
      </c>
      <c r="T205" s="190">
        <f t="shared" si="3"/>
        <v>509354761</v>
      </c>
      <c r="U205" s="221" t="s">
        <v>220</v>
      </c>
      <c r="V205" s="221" t="s">
        <v>220</v>
      </c>
      <c r="W205" s="192"/>
      <c r="X205" s="248">
        <v>45029.0</v>
      </c>
      <c r="Y205" s="248">
        <v>45273.0</v>
      </c>
      <c r="Z205" s="194">
        <v>0.0</v>
      </c>
      <c r="AA205" s="200">
        <v>0.0</v>
      </c>
      <c r="AB205" s="193">
        <v>45456.0</v>
      </c>
      <c r="AC205" s="66">
        <f t="shared" si="4"/>
        <v>-831</v>
      </c>
      <c r="AD205" s="196">
        <v>187.0</v>
      </c>
      <c r="AE205" s="196">
        <v>510.0</v>
      </c>
      <c r="AF205" s="196">
        <v>0.0</v>
      </c>
      <c r="AG205" s="196"/>
      <c r="AH205" s="95">
        <f t="shared" si="40"/>
        <v>697</v>
      </c>
      <c r="AI205" s="197">
        <v>697.0</v>
      </c>
      <c r="AJ205" s="88">
        <f t="shared" si="67"/>
        <v>0</v>
      </c>
      <c r="AK205" s="201"/>
      <c r="AL205" s="201"/>
      <c r="AM205" s="201"/>
      <c r="AN205" s="201"/>
      <c r="AO205" s="201">
        <v>697.0</v>
      </c>
      <c r="AP205" s="87">
        <v>1700.0</v>
      </c>
      <c r="AQ205" s="187">
        <v>0.0</v>
      </c>
      <c r="AR205" s="113">
        <f t="shared" si="64"/>
        <v>509354761</v>
      </c>
      <c r="AS205" s="247">
        <v>5.06473851E8</v>
      </c>
      <c r="AT205" s="198">
        <f t="shared" si="63"/>
        <v>1</v>
      </c>
      <c r="AU205" s="198">
        <f t="shared" si="23"/>
        <v>0.994344001</v>
      </c>
      <c r="AV205" s="184" t="s">
        <v>978</v>
      </c>
      <c r="AW205" s="215" t="s">
        <v>970</v>
      </c>
      <c r="AX205" s="366">
        <v>46149.0</v>
      </c>
      <c r="AY205" s="215" t="s">
        <v>273</v>
      </c>
      <c r="AZ205" s="76"/>
      <c r="BA205" s="76"/>
      <c r="BB205" s="76"/>
      <c r="BC205" s="209"/>
      <c r="BD205" s="210" t="s">
        <v>274</v>
      </c>
      <c r="BE205" s="366">
        <v>46153.0</v>
      </c>
    </row>
    <row r="206" ht="89.25" customHeight="1">
      <c r="A206" s="50">
        <v>205.0</v>
      </c>
      <c r="B206" s="51">
        <v>2023.0</v>
      </c>
      <c r="C206" s="184" t="s">
        <v>428</v>
      </c>
      <c r="D206" s="185" t="s">
        <v>74</v>
      </c>
      <c r="E206" s="184" t="s">
        <v>951</v>
      </c>
      <c r="F206" s="53">
        <v>4.600015847E9</v>
      </c>
      <c r="G206" s="184" t="s">
        <v>184</v>
      </c>
      <c r="H206" s="184" t="str">
        <f t="shared" si="66"/>
        <v>COPACABANA</v>
      </c>
      <c r="I206" s="184" t="s">
        <v>185</v>
      </c>
      <c r="J206" s="184" t="s">
        <v>979</v>
      </c>
      <c r="K206" s="184" t="s">
        <v>980</v>
      </c>
      <c r="L206" s="184">
        <v>5.7</v>
      </c>
      <c r="M206" s="100">
        <v>2100.0</v>
      </c>
      <c r="N206" s="187">
        <v>0.0</v>
      </c>
      <c r="O206" s="113">
        <v>1.5E9</v>
      </c>
      <c r="P206" s="113">
        <v>6.0E8</v>
      </c>
      <c r="Q206" s="188">
        <f t="shared" si="2"/>
        <v>2100000000</v>
      </c>
      <c r="R206" s="114">
        <v>0.0</v>
      </c>
      <c r="S206" s="114">
        <v>0.0</v>
      </c>
      <c r="T206" s="190">
        <f t="shared" si="3"/>
        <v>2100000000</v>
      </c>
      <c r="U206" s="221" t="s">
        <v>64</v>
      </c>
      <c r="V206" s="221" t="s">
        <v>64</v>
      </c>
      <c r="W206" s="192"/>
      <c r="X206" s="193">
        <v>45113.0</v>
      </c>
      <c r="Y206" s="193">
        <v>45291.0</v>
      </c>
      <c r="Z206" s="194">
        <v>13.5</v>
      </c>
      <c r="AA206" s="200">
        <v>2.0</v>
      </c>
      <c r="AB206" s="193">
        <v>45759.0</v>
      </c>
      <c r="AC206" s="66">
        <f t="shared" si="4"/>
        <v>-528</v>
      </c>
      <c r="AD206" s="55"/>
      <c r="AE206" s="55">
        <v>2100.0</v>
      </c>
      <c r="AF206" s="55"/>
      <c r="AG206" s="55"/>
      <c r="AH206" s="95">
        <f t="shared" si="40"/>
        <v>2100</v>
      </c>
      <c r="AI206" s="178">
        <v>2100.0</v>
      </c>
      <c r="AJ206" s="88">
        <f t="shared" si="67"/>
        <v>0</v>
      </c>
      <c r="AK206" s="201"/>
      <c r="AL206" s="201"/>
      <c r="AM206" s="201"/>
      <c r="AN206" s="201"/>
      <c r="AO206" s="201">
        <v>0.0</v>
      </c>
      <c r="AP206" s="87">
        <v>2100.0</v>
      </c>
      <c r="AQ206" s="187">
        <v>0.0</v>
      </c>
      <c r="AR206" s="113">
        <f t="shared" si="64"/>
        <v>1500000000</v>
      </c>
      <c r="AS206" s="113">
        <v>1.5E9</v>
      </c>
      <c r="AT206" s="198">
        <f t="shared" si="63"/>
        <v>1</v>
      </c>
      <c r="AU206" s="198">
        <f t="shared" si="23"/>
        <v>1</v>
      </c>
      <c r="AV206" s="184" t="s">
        <v>981</v>
      </c>
      <c r="AW206" s="215"/>
      <c r="AX206" s="366"/>
      <c r="AY206" s="215"/>
      <c r="AZ206" s="76"/>
      <c r="BA206" s="76"/>
      <c r="BB206" s="76"/>
      <c r="BC206" s="209"/>
      <c r="BD206" s="210"/>
      <c r="BE206" s="366"/>
    </row>
    <row r="207" ht="89.25" customHeight="1">
      <c r="A207" s="50">
        <v>206.0</v>
      </c>
      <c r="B207" s="51">
        <v>2023.0</v>
      </c>
      <c r="C207" s="184" t="s">
        <v>342</v>
      </c>
      <c r="D207" s="185" t="s">
        <v>74</v>
      </c>
      <c r="E207" s="184" t="s">
        <v>75</v>
      </c>
      <c r="F207" s="53">
        <v>4.600016141E9</v>
      </c>
      <c r="G207" s="184" t="s">
        <v>257</v>
      </c>
      <c r="H207" s="184" t="str">
        <f t="shared" si="66"/>
        <v>NECHÍ</v>
      </c>
      <c r="I207" s="184" t="s">
        <v>85</v>
      </c>
      <c r="J207" s="184" t="s">
        <v>976</v>
      </c>
      <c r="K207" s="184" t="s">
        <v>982</v>
      </c>
      <c r="L207" s="184">
        <v>4.5</v>
      </c>
      <c r="M207" s="100">
        <v>1350.0</v>
      </c>
      <c r="N207" s="187">
        <v>0.0</v>
      </c>
      <c r="O207" s="113">
        <v>1.5E9</v>
      </c>
      <c r="P207" s="113">
        <v>6.18825359E8</v>
      </c>
      <c r="Q207" s="188">
        <f t="shared" si="2"/>
        <v>2118825359</v>
      </c>
      <c r="R207" s="114">
        <v>0.0</v>
      </c>
      <c r="S207" s="114">
        <v>0.0</v>
      </c>
      <c r="T207" s="190">
        <f t="shared" si="3"/>
        <v>2118825359</v>
      </c>
      <c r="U207" s="221" t="s">
        <v>64</v>
      </c>
      <c r="V207" s="221" t="s">
        <v>64</v>
      </c>
      <c r="W207" s="192"/>
      <c r="X207" s="193">
        <v>45208.0</v>
      </c>
      <c r="Y207" s="193">
        <v>45360.0</v>
      </c>
      <c r="Z207" s="194">
        <v>8.0</v>
      </c>
      <c r="AA207" s="194">
        <v>4.5</v>
      </c>
      <c r="AB207" s="193">
        <v>45725.0</v>
      </c>
      <c r="AC207" s="66">
        <f t="shared" si="4"/>
        <v>-562</v>
      </c>
      <c r="AD207" s="55">
        <v>837.0</v>
      </c>
      <c r="AE207" s="55">
        <v>378.0</v>
      </c>
      <c r="AF207" s="55">
        <v>135.0</v>
      </c>
      <c r="AG207" s="55">
        <v>0.0</v>
      </c>
      <c r="AH207" s="95">
        <f t="shared" si="40"/>
        <v>1350</v>
      </c>
      <c r="AI207" s="178">
        <v>1350.0</v>
      </c>
      <c r="AJ207" s="88">
        <f t="shared" si="67"/>
        <v>0</v>
      </c>
      <c r="AK207" s="201"/>
      <c r="AL207" s="201"/>
      <c r="AM207" s="201"/>
      <c r="AN207" s="201"/>
      <c r="AO207" s="201">
        <v>0.0</v>
      </c>
      <c r="AP207" s="87">
        <v>1350.0</v>
      </c>
      <c r="AQ207" s="187">
        <v>0.0</v>
      </c>
      <c r="AR207" s="113">
        <f t="shared" si="64"/>
        <v>1500000000</v>
      </c>
      <c r="AS207" s="113">
        <v>1.5E9</v>
      </c>
      <c r="AT207" s="198">
        <f t="shared" si="63"/>
        <v>1</v>
      </c>
      <c r="AU207" s="198">
        <f t="shared" si="23"/>
        <v>1</v>
      </c>
      <c r="AV207" s="118" t="s">
        <v>983</v>
      </c>
      <c r="AW207" s="215"/>
      <c r="AX207" s="366"/>
      <c r="AY207" s="215"/>
      <c r="AZ207" s="76"/>
      <c r="BA207" s="76"/>
      <c r="BB207" s="76"/>
      <c r="BC207" s="209"/>
      <c r="BD207" s="210"/>
      <c r="BE207" s="366"/>
    </row>
    <row r="208" ht="89.25" customHeight="1">
      <c r="A208" s="50">
        <v>207.0</v>
      </c>
      <c r="B208" s="51">
        <v>2022.0</v>
      </c>
      <c r="C208" s="184" t="s">
        <v>194</v>
      </c>
      <c r="D208" s="185" t="s">
        <v>74</v>
      </c>
      <c r="E208" s="184" t="s">
        <v>75</v>
      </c>
      <c r="F208" s="53" t="s">
        <v>984</v>
      </c>
      <c r="G208" s="184" t="s">
        <v>201</v>
      </c>
      <c r="H208" s="184" t="str">
        <f t="shared" si="66"/>
        <v>ALEJANDRÍA</v>
      </c>
      <c r="I208" s="184" t="s">
        <v>120</v>
      </c>
      <c r="J208" s="184" t="s">
        <v>985</v>
      </c>
      <c r="K208" s="184" t="s">
        <v>986</v>
      </c>
      <c r="L208" s="186">
        <v>14.0</v>
      </c>
      <c r="M208" s="100">
        <v>700.0</v>
      </c>
      <c r="N208" s="187">
        <v>0.0</v>
      </c>
      <c r="O208" s="113">
        <v>2.91635326E8</v>
      </c>
      <c r="P208" s="113">
        <v>0.0</v>
      </c>
      <c r="Q208" s="188">
        <f t="shared" si="2"/>
        <v>291635326</v>
      </c>
      <c r="R208" s="114">
        <v>0.0</v>
      </c>
      <c r="S208" s="114">
        <v>0.0</v>
      </c>
      <c r="T208" s="190">
        <f t="shared" si="3"/>
        <v>291635326</v>
      </c>
      <c r="U208" s="221" t="s">
        <v>220</v>
      </c>
      <c r="V208" s="221" t="s">
        <v>220</v>
      </c>
      <c r="W208" s="192"/>
      <c r="X208" s="193">
        <v>44939.0</v>
      </c>
      <c r="Y208" s="193">
        <v>45212.0</v>
      </c>
      <c r="Z208" s="194">
        <v>0.0</v>
      </c>
      <c r="AA208" s="200">
        <v>0.0</v>
      </c>
      <c r="AB208" s="193">
        <v>45364.0</v>
      </c>
      <c r="AC208" s="66">
        <f t="shared" si="4"/>
        <v>-923</v>
      </c>
      <c r="AD208" s="55">
        <v>140.0</v>
      </c>
      <c r="AE208" s="55"/>
      <c r="AF208" s="55"/>
      <c r="AG208" s="55"/>
      <c r="AH208" s="95">
        <f t="shared" si="40"/>
        <v>140</v>
      </c>
      <c r="AI208" s="178">
        <v>140.0</v>
      </c>
      <c r="AJ208" s="88">
        <f t="shared" si="67"/>
        <v>0</v>
      </c>
      <c r="AK208" s="201"/>
      <c r="AL208" s="201"/>
      <c r="AM208" s="201"/>
      <c r="AN208" s="201"/>
      <c r="AO208" s="201">
        <v>0.0</v>
      </c>
      <c r="AP208" s="87">
        <v>700.0</v>
      </c>
      <c r="AQ208" s="187">
        <v>0.0</v>
      </c>
      <c r="AR208" s="113">
        <f t="shared" si="64"/>
        <v>291635326</v>
      </c>
      <c r="AS208" s="113">
        <v>2.91635326E8</v>
      </c>
      <c r="AT208" s="198">
        <f t="shared" si="63"/>
        <v>1</v>
      </c>
      <c r="AU208" s="198">
        <f t="shared" si="23"/>
        <v>1</v>
      </c>
      <c r="AV208" s="184" t="s">
        <v>987</v>
      </c>
      <c r="AW208" s="215"/>
      <c r="AX208" s="366"/>
      <c r="AY208" s="215"/>
      <c r="AZ208" s="76"/>
      <c r="BA208" s="76"/>
      <c r="BB208" s="76"/>
      <c r="BC208" s="209"/>
      <c r="BD208" s="210"/>
      <c r="BE208" s="366"/>
    </row>
    <row r="209" ht="89.25" customHeight="1">
      <c r="A209" s="21">
        <v>208.0</v>
      </c>
      <c r="B209" s="22">
        <v>2022.0</v>
      </c>
      <c r="C209" s="23" t="s">
        <v>171</v>
      </c>
      <c r="D209" s="80" t="s">
        <v>74</v>
      </c>
      <c r="E209" s="23" t="s">
        <v>75</v>
      </c>
      <c r="F209" s="25" t="s">
        <v>988</v>
      </c>
      <c r="G209" s="23" t="s">
        <v>247</v>
      </c>
      <c r="H209" s="23" t="str">
        <f t="shared" si="66"/>
        <v>AMAGÁ</v>
      </c>
      <c r="I209" s="23" t="s">
        <v>78</v>
      </c>
      <c r="J209" s="23" t="s">
        <v>989</v>
      </c>
      <c r="K209" s="23" t="s">
        <v>990</v>
      </c>
      <c r="L209" s="23">
        <v>9.0</v>
      </c>
      <c r="M209" s="173">
        <v>700.0</v>
      </c>
      <c r="N209" s="162">
        <v>0.0</v>
      </c>
      <c r="O209" s="82">
        <v>2.09765088E8</v>
      </c>
      <c r="P209" s="82">
        <v>0.0</v>
      </c>
      <c r="Q209" s="163">
        <f t="shared" si="2"/>
        <v>209765088</v>
      </c>
      <c r="R209" s="135">
        <v>0.0</v>
      </c>
      <c r="S209" s="135">
        <v>0.0</v>
      </c>
      <c r="T209" s="165">
        <f t="shared" si="3"/>
        <v>209765088</v>
      </c>
      <c r="U209" s="83" t="s">
        <v>64</v>
      </c>
      <c r="V209" s="83" t="s">
        <v>64</v>
      </c>
      <c r="W209" s="175"/>
      <c r="X209" s="176">
        <v>44939.0</v>
      </c>
      <c r="Y209" s="176">
        <v>45212.0</v>
      </c>
      <c r="Z209" s="177">
        <v>3.0</v>
      </c>
      <c r="AA209" s="160">
        <v>7.2</v>
      </c>
      <c r="AB209" s="176">
        <v>45364.0</v>
      </c>
      <c r="AC209" s="38">
        <f t="shared" si="4"/>
        <v>-923</v>
      </c>
      <c r="AD209" s="27"/>
      <c r="AE209" s="27"/>
      <c r="AF209" s="27"/>
      <c r="AG209" s="27"/>
      <c r="AH209" s="95">
        <f t="shared" si="40"/>
        <v>0</v>
      </c>
      <c r="AI209" s="178">
        <v>0.0</v>
      </c>
      <c r="AJ209" s="88">
        <f t="shared" si="67"/>
        <v>0</v>
      </c>
      <c r="AK209" s="166"/>
      <c r="AL209" s="166"/>
      <c r="AM209" s="166"/>
      <c r="AN209" s="166"/>
      <c r="AO209" s="166">
        <v>0.0</v>
      </c>
      <c r="AP209" s="178">
        <v>217.0</v>
      </c>
      <c r="AQ209" s="162">
        <v>0.0</v>
      </c>
      <c r="AR209" s="82">
        <f t="shared" si="64"/>
        <v>209765088</v>
      </c>
      <c r="AS209" s="82">
        <v>1.0459362E8</v>
      </c>
      <c r="AT209" s="171">
        <f t="shared" si="63"/>
        <v>0.31</v>
      </c>
      <c r="AU209" s="171">
        <f t="shared" si="23"/>
        <v>0.4986226307</v>
      </c>
      <c r="AV209" s="23" t="s">
        <v>991</v>
      </c>
      <c r="AW209" s="42"/>
      <c r="AX209" s="368"/>
      <c r="AY209" s="42"/>
      <c r="AZ209" s="92"/>
      <c r="BA209" s="92"/>
      <c r="BB209" s="92"/>
      <c r="BC209" s="102"/>
      <c r="BD209" s="44"/>
      <c r="BE209" s="368"/>
      <c r="BF209" s="93"/>
      <c r="BG209" s="93"/>
      <c r="BH209" s="93"/>
    </row>
    <row r="210" ht="89.25" customHeight="1">
      <c r="A210" s="21">
        <v>209.0</v>
      </c>
      <c r="B210" s="22">
        <v>2022.0</v>
      </c>
      <c r="C210" s="23" t="s">
        <v>428</v>
      </c>
      <c r="D210" s="80" t="s">
        <v>74</v>
      </c>
      <c r="E210" s="23" t="s">
        <v>75</v>
      </c>
      <c r="F210" s="25" t="s">
        <v>992</v>
      </c>
      <c r="G210" s="23" t="s">
        <v>634</v>
      </c>
      <c r="H210" s="23" t="str">
        <f t="shared" si="66"/>
        <v>BARBOSA</v>
      </c>
      <c r="I210" s="23" t="s">
        <v>185</v>
      </c>
      <c r="J210" s="23" t="s">
        <v>993</v>
      </c>
      <c r="K210" s="23" t="s">
        <v>990</v>
      </c>
      <c r="L210" s="23">
        <v>7.48</v>
      </c>
      <c r="M210" s="173">
        <v>700.0</v>
      </c>
      <c r="N210" s="162">
        <v>0.0</v>
      </c>
      <c r="O210" s="82">
        <v>2.09791255E8</v>
      </c>
      <c r="P210" s="82">
        <v>0.0</v>
      </c>
      <c r="Q210" s="163">
        <f t="shared" si="2"/>
        <v>209791255</v>
      </c>
      <c r="R210" s="135">
        <v>0.0</v>
      </c>
      <c r="S210" s="135">
        <v>0.0</v>
      </c>
      <c r="T210" s="165">
        <f t="shared" si="3"/>
        <v>209791255</v>
      </c>
      <c r="U210" s="83" t="s">
        <v>220</v>
      </c>
      <c r="V210" s="83" t="s">
        <v>220</v>
      </c>
      <c r="W210" s="175"/>
      <c r="X210" s="176">
        <v>44938.0</v>
      </c>
      <c r="Y210" s="176">
        <v>45119.0</v>
      </c>
      <c r="Z210" s="177">
        <v>8.52</v>
      </c>
      <c r="AA210" s="160">
        <v>0.0</v>
      </c>
      <c r="AB210" s="176">
        <v>45381.0</v>
      </c>
      <c r="AC210" s="38">
        <f t="shared" si="4"/>
        <v>-906</v>
      </c>
      <c r="AD210" s="27"/>
      <c r="AE210" s="27"/>
      <c r="AF210" s="27"/>
      <c r="AG210" s="27"/>
      <c r="AH210" s="95">
        <f t="shared" si="40"/>
        <v>0</v>
      </c>
      <c r="AI210" s="178">
        <v>0.0</v>
      </c>
      <c r="AJ210" s="88">
        <f t="shared" si="67"/>
        <v>0</v>
      </c>
      <c r="AK210" s="166"/>
      <c r="AL210" s="166"/>
      <c r="AM210" s="166"/>
      <c r="AN210" s="166"/>
      <c r="AO210" s="166">
        <v>0.0</v>
      </c>
      <c r="AP210" s="178">
        <v>175.0</v>
      </c>
      <c r="AQ210" s="162">
        <v>0.0</v>
      </c>
      <c r="AR210" s="82">
        <f t="shared" si="64"/>
        <v>209791255</v>
      </c>
      <c r="AS210" s="82">
        <v>1.41959542E8</v>
      </c>
      <c r="AT210" s="171">
        <f t="shared" si="63"/>
        <v>0.25</v>
      </c>
      <c r="AU210" s="171">
        <f t="shared" si="23"/>
        <v>0.6766704456</v>
      </c>
      <c r="AV210" s="23" t="s">
        <v>994</v>
      </c>
      <c r="AW210" s="42"/>
      <c r="AX210" s="368">
        <v>46281.0</v>
      </c>
      <c r="AY210" s="42" t="s">
        <v>273</v>
      </c>
      <c r="AZ210" s="44" t="s">
        <v>68</v>
      </c>
      <c r="BA210" s="44" t="s">
        <v>68</v>
      </c>
      <c r="BB210" s="45" t="s">
        <v>68</v>
      </c>
      <c r="BC210" s="369">
        <v>0.0</v>
      </c>
      <c r="BD210" s="44" t="s">
        <v>67</v>
      </c>
      <c r="BE210" s="368"/>
      <c r="BF210" s="93"/>
      <c r="BG210" s="93"/>
      <c r="BH210" s="93"/>
    </row>
    <row r="211" ht="89.25" customHeight="1">
      <c r="A211" s="50">
        <v>210.0</v>
      </c>
      <c r="B211" s="51">
        <v>2022.0</v>
      </c>
      <c r="C211" s="184" t="s">
        <v>389</v>
      </c>
      <c r="D211" s="185" t="s">
        <v>74</v>
      </c>
      <c r="E211" s="184" t="s">
        <v>75</v>
      </c>
      <c r="F211" s="53" t="s">
        <v>995</v>
      </c>
      <c r="G211" s="184" t="s">
        <v>398</v>
      </c>
      <c r="H211" s="184" t="str">
        <f t="shared" si="66"/>
        <v>BRICEÑO</v>
      </c>
      <c r="I211" s="184" t="s">
        <v>174</v>
      </c>
      <c r="J211" s="184" t="s">
        <v>996</v>
      </c>
      <c r="K211" s="184" t="s">
        <v>997</v>
      </c>
      <c r="L211" s="230">
        <v>7.48</v>
      </c>
      <c r="M211" s="100">
        <v>700.0</v>
      </c>
      <c r="N211" s="187">
        <v>0.0</v>
      </c>
      <c r="O211" s="113">
        <v>2.09788612E8</v>
      </c>
      <c r="P211" s="113">
        <v>0.0</v>
      </c>
      <c r="Q211" s="188">
        <f t="shared" si="2"/>
        <v>209788612</v>
      </c>
      <c r="R211" s="114">
        <v>0.0</v>
      </c>
      <c r="S211" s="114">
        <v>0.0</v>
      </c>
      <c r="T211" s="190">
        <f t="shared" si="3"/>
        <v>209788612</v>
      </c>
      <c r="U211" s="221" t="s">
        <v>220</v>
      </c>
      <c r="V211" s="221" t="s">
        <v>220</v>
      </c>
      <c r="W211" s="192"/>
      <c r="X211" s="193">
        <v>44936.0</v>
      </c>
      <c r="Y211" s="193">
        <v>45270.0</v>
      </c>
      <c r="Z211" s="194"/>
      <c r="AA211" s="200">
        <v>0.0</v>
      </c>
      <c r="AB211" s="193">
        <v>45361.0</v>
      </c>
      <c r="AC211" s="66">
        <f t="shared" si="4"/>
        <v>-926</v>
      </c>
      <c r="AD211" s="55">
        <v>385.0</v>
      </c>
      <c r="AE211" s="55"/>
      <c r="AF211" s="55"/>
      <c r="AG211" s="55"/>
      <c r="AH211" s="95">
        <f t="shared" si="40"/>
        <v>385</v>
      </c>
      <c r="AI211" s="178">
        <v>385.0</v>
      </c>
      <c r="AJ211" s="88">
        <f t="shared" si="67"/>
        <v>0</v>
      </c>
      <c r="AK211" s="201"/>
      <c r="AL211" s="201"/>
      <c r="AM211" s="201"/>
      <c r="AN211" s="201"/>
      <c r="AO211" s="201">
        <v>0.0</v>
      </c>
      <c r="AP211" s="87">
        <v>700.0</v>
      </c>
      <c r="AQ211" s="187">
        <v>0.0</v>
      </c>
      <c r="AR211" s="113">
        <f t="shared" si="64"/>
        <v>209788612</v>
      </c>
      <c r="AS211" s="113">
        <v>2.0968208E8</v>
      </c>
      <c r="AT211" s="198">
        <f t="shared" si="63"/>
        <v>1</v>
      </c>
      <c r="AU211" s="198">
        <f t="shared" si="23"/>
        <v>0.9994921936</v>
      </c>
      <c r="AV211" s="184" t="s">
        <v>220</v>
      </c>
      <c r="AW211" s="215"/>
      <c r="AX211" s="366"/>
      <c r="AY211" s="215"/>
      <c r="AZ211" s="76"/>
      <c r="BA211" s="76"/>
      <c r="BB211" s="76"/>
      <c r="BC211" s="209"/>
      <c r="BD211" s="210"/>
      <c r="BE211" s="366"/>
    </row>
    <row r="212" ht="89.25" customHeight="1">
      <c r="A212" s="21">
        <v>211.0</v>
      </c>
      <c r="B212" s="22">
        <v>2022.0</v>
      </c>
      <c r="C212" s="23" t="s">
        <v>234</v>
      </c>
      <c r="D212" s="80" t="s">
        <v>74</v>
      </c>
      <c r="E212" s="23" t="s">
        <v>75</v>
      </c>
      <c r="F212" s="25" t="s">
        <v>998</v>
      </c>
      <c r="G212" s="23" t="s">
        <v>236</v>
      </c>
      <c r="H212" s="23" t="str">
        <f t="shared" si="66"/>
        <v>CAÑASGORDAS</v>
      </c>
      <c r="I212" s="23" t="s">
        <v>127</v>
      </c>
      <c r="J212" s="23" t="s">
        <v>999</v>
      </c>
      <c r="K212" s="23" t="s">
        <v>1000</v>
      </c>
      <c r="L212" s="23">
        <v>7.48</v>
      </c>
      <c r="M212" s="173">
        <v>1700.0</v>
      </c>
      <c r="N212" s="162">
        <v>0.0</v>
      </c>
      <c r="O212" s="82">
        <v>5.09985494E8</v>
      </c>
      <c r="P212" s="82">
        <v>0.0</v>
      </c>
      <c r="Q212" s="163">
        <f t="shared" si="2"/>
        <v>509985494</v>
      </c>
      <c r="R212" s="135">
        <v>0.0</v>
      </c>
      <c r="S212" s="135">
        <v>0.0</v>
      </c>
      <c r="T212" s="165">
        <f t="shared" si="3"/>
        <v>509985494</v>
      </c>
      <c r="U212" s="83" t="s">
        <v>64</v>
      </c>
      <c r="V212" s="83" t="s">
        <v>64</v>
      </c>
      <c r="W212" s="175"/>
      <c r="X212" s="176">
        <v>44938.0</v>
      </c>
      <c r="Y212" s="176">
        <v>45211.0</v>
      </c>
      <c r="Z212" s="177"/>
      <c r="AA212" s="160">
        <v>0.0</v>
      </c>
      <c r="AB212" s="176">
        <v>45351.0</v>
      </c>
      <c r="AC212" s="38">
        <f t="shared" si="4"/>
        <v>-936</v>
      </c>
      <c r="AD212" s="27"/>
      <c r="AE212" s="27"/>
      <c r="AF212" s="27"/>
      <c r="AG212" s="27"/>
      <c r="AH212" s="95">
        <f t="shared" si="40"/>
        <v>0</v>
      </c>
      <c r="AI212" s="178">
        <v>0.0</v>
      </c>
      <c r="AJ212" s="88">
        <f t="shared" si="67"/>
        <v>0</v>
      </c>
      <c r="AK212" s="166"/>
      <c r="AL212" s="166"/>
      <c r="AM212" s="166"/>
      <c r="AN212" s="166"/>
      <c r="AO212" s="166">
        <v>0.0</v>
      </c>
      <c r="AP212" s="178">
        <v>1700.0</v>
      </c>
      <c r="AQ212" s="162">
        <v>0.0</v>
      </c>
      <c r="AR212" s="82">
        <f t="shared" si="64"/>
        <v>509985494</v>
      </c>
      <c r="AS212" s="82">
        <v>5.09985494E8</v>
      </c>
      <c r="AT212" s="238">
        <f t="shared" si="63"/>
        <v>1</v>
      </c>
      <c r="AU212" s="171">
        <f t="shared" si="23"/>
        <v>1</v>
      </c>
      <c r="AV212" s="97" t="s">
        <v>1001</v>
      </c>
      <c r="AW212" s="42"/>
      <c r="AX212" s="368"/>
      <c r="AY212" s="42"/>
      <c r="AZ212" s="92"/>
      <c r="BA212" s="92"/>
      <c r="BB212" s="92"/>
      <c r="BC212" s="102"/>
      <c r="BD212" s="44"/>
      <c r="BE212" s="368"/>
      <c r="BF212" s="93"/>
      <c r="BG212" s="93"/>
      <c r="BH212" s="93"/>
    </row>
    <row r="213" ht="89.25" customHeight="1">
      <c r="A213" s="21">
        <v>212.0</v>
      </c>
      <c r="B213" s="22">
        <v>2022.0</v>
      </c>
      <c r="C213" s="23" t="s">
        <v>342</v>
      </c>
      <c r="D213" s="80" t="s">
        <v>74</v>
      </c>
      <c r="E213" s="23" t="s">
        <v>75</v>
      </c>
      <c r="F213" s="25" t="s">
        <v>1002</v>
      </c>
      <c r="G213" s="23" t="s">
        <v>252</v>
      </c>
      <c r="H213" s="23" t="str">
        <f t="shared" si="66"/>
        <v>EL BAGRE</v>
      </c>
      <c r="I213" s="23" t="s">
        <v>85</v>
      </c>
      <c r="J213" s="23" t="s">
        <v>1003</v>
      </c>
      <c r="K213" s="23" t="s">
        <v>1004</v>
      </c>
      <c r="L213" s="23">
        <v>7.48</v>
      </c>
      <c r="M213" s="173">
        <v>700.0</v>
      </c>
      <c r="N213" s="162">
        <v>0.0</v>
      </c>
      <c r="O213" s="82">
        <v>2.09792608E8</v>
      </c>
      <c r="P213" s="82">
        <v>0.0</v>
      </c>
      <c r="Q213" s="163">
        <f t="shared" si="2"/>
        <v>209792608</v>
      </c>
      <c r="R213" s="135">
        <v>0.0</v>
      </c>
      <c r="S213" s="135">
        <v>0.0</v>
      </c>
      <c r="T213" s="165">
        <f t="shared" si="3"/>
        <v>209792608</v>
      </c>
      <c r="U213" s="83" t="s">
        <v>220</v>
      </c>
      <c r="V213" s="83" t="s">
        <v>220</v>
      </c>
      <c r="W213" s="175"/>
      <c r="X213" s="176">
        <v>44939.0</v>
      </c>
      <c r="Y213" s="176">
        <v>45059.0</v>
      </c>
      <c r="Z213" s="177">
        <v>10.0</v>
      </c>
      <c r="AA213" s="160">
        <v>0.0</v>
      </c>
      <c r="AB213" s="176">
        <v>45364.0</v>
      </c>
      <c r="AC213" s="38">
        <f t="shared" si="4"/>
        <v>-923</v>
      </c>
      <c r="AD213" s="27">
        <v>385.0</v>
      </c>
      <c r="AE213" s="27"/>
      <c r="AF213" s="27"/>
      <c r="AG213" s="27"/>
      <c r="AH213" s="95">
        <f t="shared" si="40"/>
        <v>385</v>
      </c>
      <c r="AI213" s="178">
        <v>385.0</v>
      </c>
      <c r="AJ213" s="88">
        <f t="shared" si="67"/>
        <v>0</v>
      </c>
      <c r="AK213" s="166"/>
      <c r="AL213" s="166"/>
      <c r="AM213" s="166"/>
      <c r="AN213" s="166"/>
      <c r="AO213" s="166">
        <v>0.0</v>
      </c>
      <c r="AP213" s="87">
        <v>700.0</v>
      </c>
      <c r="AQ213" s="162">
        <v>0.0</v>
      </c>
      <c r="AR213" s="82">
        <f t="shared" si="64"/>
        <v>209792608</v>
      </c>
      <c r="AS213" s="82">
        <v>2.09788369E8</v>
      </c>
      <c r="AT213" s="171">
        <f t="shared" si="63"/>
        <v>1</v>
      </c>
      <c r="AU213" s="171">
        <f t="shared" si="23"/>
        <v>0.9999797943</v>
      </c>
      <c r="AV213" s="23" t="s">
        <v>1005</v>
      </c>
      <c r="AW213" s="42"/>
      <c r="AX213" s="368">
        <v>46266.0</v>
      </c>
      <c r="AY213" s="42" t="s">
        <v>273</v>
      </c>
      <c r="AZ213" s="92"/>
      <c r="BA213" s="92"/>
      <c r="BB213" s="92"/>
      <c r="BC213" s="369" t="s">
        <v>1006</v>
      </c>
      <c r="BD213" s="44" t="s">
        <v>67</v>
      </c>
      <c r="BE213" s="368"/>
      <c r="BF213" s="93"/>
      <c r="BG213" s="93"/>
      <c r="BH213" s="93"/>
    </row>
    <row r="214" ht="89.25" customHeight="1">
      <c r="A214" s="50">
        <v>213.0</v>
      </c>
      <c r="B214" s="51">
        <v>2022.0</v>
      </c>
      <c r="C214" s="184" t="s">
        <v>267</v>
      </c>
      <c r="D214" s="185" t="s">
        <v>74</v>
      </c>
      <c r="E214" s="184" t="s">
        <v>75</v>
      </c>
      <c r="F214" s="53" t="s">
        <v>1007</v>
      </c>
      <c r="G214" s="184" t="s">
        <v>281</v>
      </c>
      <c r="H214" s="184" t="str">
        <f t="shared" si="66"/>
        <v>EL PEÑOL</v>
      </c>
      <c r="I214" s="184" t="s">
        <v>120</v>
      </c>
      <c r="J214" s="184" t="s">
        <v>1008</v>
      </c>
      <c r="K214" s="184" t="s">
        <v>1009</v>
      </c>
      <c r="L214" s="230">
        <v>7.48</v>
      </c>
      <c r="M214" s="100">
        <v>3700.0</v>
      </c>
      <c r="N214" s="187">
        <v>0.0</v>
      </c>
      <c r="O214" s="113">
        <v>1.097260088E9</v>
      </c>
      <c r="P214" s="113">
        <v>0.0</v>
      </c>
      <c r="Q214" s="188">
        <f t="shared" si="2"/>
        <v>1097260088</v>
      </c>
      <c r="R214" s="114">
        <v>0.0</v>
      </c>
      <c r="S214" s="114">
        <v>0.0</v>
      </c>
      <c r="T214" s="190">
        <f t="shared" si="3"/>
        <v>1097260088</v>
      </c>
      <c r="U214" s="221" t="s">
        <v>220</v>
      </c>
      <c r="V214" s="221" t="s">
        <v>220</v>
      </c>
      <c r="W214" s="192"/>
      <c r="X214" s="193">
        <v>44930.0</v>
      </c>
      <c r="Y214" s="193">
        <v>45295.0</v>
      </c>
      <c r="Z214" s="194"/>
      <c r="AA214" s="200">
        <v>0.0</v>
      </c>
      <c r="AB214" s="193">
        <v>45295.0</v>
      </c>
      <c r="AC214" s="66">
        <f t="shared" si="4"/>
        <v>-992</v>
      </c>
      <c r="AD214" s="55"/>
      <c r="AE214" s="55"/>
      <c r="AF214" s="55"/>
      <c r="AG214" s="55"/>
      <c r="AH214" s="95">
        <f t="shared" si="40"/>
        <v>0</v>
      </c>
      <c r="AI214" s="178">
        <v>0.0</v>
      </c>
      <c r="AJ214" s="88">
        <f t="shared" si="67"/>
        <v>0</v>
      </c>
      <c r="AK214" s="201"/>
      <c r="AL214" s="201"/>
      <c r="AM214" s="201"/>
      <c r="AN214" s="201"/>
      <c r="AO214" s="201">
        <v>0.0</v>
      </c>
      <c r="AP214" s="178">
        <v>3700.0</v>
      </c>
      <c r="AQ214" s="187">
        <v>0.0</v>
      </c>
      <c r="AR214" s="113">
        <f t="shared" si="64"/>
        <v>1097260088</v>
      </c>
      <c r="AS214" s="113">
        <v>1.096714932E9</v>
      </c>
      <c r="AT214" s="198">
        <f t="shared" si="63"/>
        <v>1</v>
      </c>
      <c r="AU214" s="198">
        <f t="shared" si="23"/>
        <v>0.9995031661</v>
      </c>
      <c r="AV214" s="184" t="s">
        <v>1010</v>
      </c>
      <c r="AW214" s="215"/>
      <c r="AX214" s="366"/>
      <c r="AY214" s="215"/>
      <c r="AZ214" s="76"/>
      <c r="BA214" s="76"/>
      <c r="BB214" s="76"/>
      <c r="BC214" s="209"/>
      <c r="BD214" s="210"/>
      <c r="BE214" s="366"/>
    </row>
    <row r="215" ht="89.25" customHeight="1">
      <c r="A215" s="50">
        <v>214.0</v>
      </c>
      <c r="B215" s="51">
        <v>2022.0</v>
      </c>
      <c r="C215" s="184" t="s">
        <v>171</v>
      </c>
      <c r="D215" s="185" t="s">
        <v>74</v>
      </c>
      <c r="E215" s="184" t="s">
        <v>951</v>
      </c>
      <c r="F215" s="53">
        <v>4.600014906E9</v>
      </c>
      <c r="G215" s="184" t="s">
        <v>179</v>
      </c>
      <c r="H215" s="184" t="str">
        <f t="shared" si="66"/>
        <v>CIUDAD BOLIVAR</v>
      </c>
      <c r="I215" s="184" t="s">
        <v>78</v>
      </c>
      <c r="J215" s="184" t="s">
        <v>1011</v>
      </c>
      <c r="K215" s="184" t="s">
        <v>1012</v>
      </c>
      <c r="L215" s="230">
        <v>7.48</v>
      </c>
      <c r="M215" s="100">
        <v>1000.0</v>
      </c>
      <c r="N215" s="187">
        <v>0.0</v>
      </c>
      <c r="O215" s="113">
        <v>1.5E9</v>
      </c>
      <c r="P215" s="113">
        <v>2.6163942E8</v>
      </c>
      <c r="Q215" s="188">
        <f t="shared" si="2"/>
        <v>1761639420</v>
      </c>
      <c r="R215" s="114">
        <v>0.0</v>
      </c>
      <c r="S215" s="114">
        <v>0.0</v>
      </c>
      <c r="T215" s="190">
        <f t="shared" si="3"/>
        <v>1761639420</v>
      </c>
      <c r="U215" s="221" t="s">
        <v>220</v>
      </c>
      <c r="V215" s="221" t="s">
        <v>220</v>
      </c>
      <c r="W215" s="192"/>
      <c r="X215" s="193">
        <v>44924.0</v>
      </c>
      <c r="Y215" s="193">
        <v>45198.0</v>
      </c>
      <c r="Z215" s="194"/>
      <c r="AA215" s="200">
        <v>0.0</v>
      </c>
      <c r="AB215" s="193">
        <v>45320.0</v>
      </c>
      <c r="AC215" s="66">
        <f t="shared" si="4"/>
        <v>-967</v>
      </c>
      <c r="AD215" s="55"/>
      <c r="AE215" s="55">
        <v>230.0</v>
      </c>
      <c r="AF215" s="55"/>
      <c r="AG215" s="55"/>
      <c r="AH215" s="95">
        <f t="shared" si="40"/>
        <v>230</v>
      </c>
      <c r="AI215" s="178">
        <v>230.0</v>
      </c>
      <c r="AJ215" s="88">
        <f t="shared" si="67"/>
        <v>0</v>
      </c>
      <c r="AK215" s="201"/>
      <c r="AL215" s="201"/>
      <c r="AM215" s="201"/>
      <c r="AN215" s="201"/>
      <c r="AO215" s="201">
        <v>0.0</v>
      </c>
      <c r="AP215" s="87">
        <v>1000.0</v>
      </c>
      <c r="AQ215" s="187">
        <v>0.0</v>
      </c>
      <c r="AR215" s="113">
        <f t="shared" si="64"/>
        <v>1500000000</v>
      </c>
      <c r="AS215" s="113">
        <v>1.5E9</v>
      </c>
      <c r="AT215" s="198">
        <f t="shared" si="63"/>
        <v>1</v>
      </c>
      <c r="AU215" s="198">
        <f t="shared" si="23"/>
        <v>1</v>
      </c>
      <c r="AV215" s="23" t="s">
        <v>1013</v>
      </c>
      <c r="AW215" s="215"/>
      <c r="AX215" s="366">
        <v>45827.0</v>
      </c>
      <c r="AY215" s="215" t="s">
        <v>273</v>
      </c>
      <c r="AZ215" s="210" t="s">
        <v>807</v>
      </c>
      <c r="BA215" s="210" t="s">
        <v>68</v>
      </c>
      <c r="BB215" s="219" t="s">
        <v>68</v>
      </c>
      <c r="BC215" s="209"/>
      <c r="BD215" s="210" t="s">
        <v>274</v>
      </c>
      <c r="BE215" s="366">
        <v>45888.0</v>
      </c>
    </row>
    <row r="216" ht="89.25" customHeight="1">
      <c r="A216" s="50">
        <v>215.0</v>
      </c>
      <c r="B216" s="51">
        <v>2023.0</v>
      </c>
      <c r="C216" s="184" t="s">
        <v>171</v>
      </c>
      <c r="D216" s="185" t="s">
        <v>74</v>
      </c>
      <c r="E216" s="184" t="s">
        <v>75</v>
      </c>
      <c r="F216" s="53" t="s">
        <v>1014</v>
      </c>
      <c r="G216" s="184" t="s">
        <v>247</v>
      </c>
      <c r="H216" s="184" t="str">
        <f t="shared" si="66"/>
        <v>AMAGÁ</v>
      </c>
      <c r="I216" s="184" t="s">
        <v>78</v>
      </c>
      <c r="J216" s="184" t="s">
        <v>1015</v>
      </c>
      <c r="K216" s="184" t="s">
        <v>1016</v>
      </c>
      <c r="L216" s="230">
        <v>7.48</v>
      </c>
      <c r="M216" s="100">
        <v>560.0</v>
      </c>
      <c r="N216" s="187">
        <v>0.0</v>
      </c>
      <c r="O216" s="113">
        <v>1.79819558E8</v>
      </c>
      <c r="P216" s="113">
        <v>0.0</v>
      </c>
      <c r="Q216" s="188">
        <f t="shared" si="2"/>
        <v>179819558</v>
      </c>
      <c r="R216" s="114">
        <v>0.0</v>
      </c>
      <c r="S216" s="114">
        <v>0.0</v>
      </c>
      <c r="T216" s="190">
        <f t="shared" si="3"/>
        <v>179819558</v>
      </c>
      <c r="U216" s="221" t="s">
        <v>220</v>
      </c>
      <c r="V216" s="221" t="s">
        <v>220</v>
      </c>
      <c r="W216" s="192"/>
      <c r="X216" s="193">
        <v>45113.0</v>
      </c>
      <c r="Y216" s="193">
        <v>45297.0</v>
      </c>
      <c r="Z216" s="194"/>
      <c r="AA216" s="200">
        <v>0.0</v>
      </c>
      <c r="AB216" s="193">
        <v>45297.0</v>
      </c>
      <c r="AC216" s="66">
        <f t="shared" si="4"/>
        <v>-990</v>
      </c>
      <c r="AD216" s="55"/>
      <c r="AE216" s="55"/>
      <c r="AF216" s="55"/>
      <c r="AG216" s="55"/>
      <c r="AH216" s="86">
        <f t="shared" si="40"/>
        <v>0</v>
      </c>
      <c r="AI216" s="178">
        <v>0.0</v>
      </c>
      <c r="AJ216" s="88">
        <f t="shared" si="67"/>
        <v>0</v>
      </c>
      <c r="AK216" s="201"/>
      <c r="AL216" s="201"/>
      <c r="AM216" s="201"/>
      <c r="AN216" s="201"/>
      <c r="AO216" s="201">
        <v>0.0</v>
      </c>
      <c r="AP216" s="178">
        <v>0.0</v>
      </c>
      <c r="AQ216" s="187">
        <v>0.0</v>
      </c>
      <c r="AR216" s="113">
        <f t="shared" si="64"/>
        <v>179819558</v>
      </c>
      <c r="AS216" s="113">
        <v>0.0</v>
      </c>
      <c r="AT216" s="198">
        <f t="shared" si="63"/>
        <v>0</v>
      </c>
      <c r="AU216" s="198">
        <f t="shared" si="23"/>
        <v>0</v>
      </c>
      <c r="AV216" s="184" t="s">
        <v>1017</v>
      </c>
      <c r="AW216" s="215"/>
      <c r="AX216" s="366">
        <v>46185.0</v>
      </c>
      <c r="AY216" s="215" t="s">
        <v>273</v>
      </c>
      <c r="AZ216" s="210" t="s">
        <v>807</v>
      </c>
      <c r="BA216" s="210" t="s">
        <v>68</v>
      </c>
      <c r="BB216" s="219" t="s">
        <v>68</v>
      </c>
      <c r="BC216" s="209"/>
      <c r="BD216" s="210" t="s">
        <v>274</v>
      </c>
      <c r="BE216" s="366">
        <v>46069.0</v>
      </c>
    </row>
    <row r="217" ht="89.25" customHeight="1">
      <c r="A217" s="50">
        <v>216.0</v>
      </c>
      <c r="B217" s="51">
        <v>2023.0</v>
      </c>
      <c r="C217" s="184" t="s">
        <v>389</v>
      </c>
      <c r="D217" s="185" t="s">
        <v>74</v>
      </c>
      <c r="E217" s="184" t="s">
        <v>75</v>
      </c>
      <c r="F217" s="53" t="s">
        <v>1018</v>
      </c>
      <c r="G217" s="184" t="s">
        <v>391</v>
      </c>
      <c r="H217" s="184" t="str">
        <f t="shared" si="66"/>
        <v>ANDES</v>
      </c>
      <c r="I217" s="184" t="s">
        <v>78</v>
      </c>
      <c r="J217" s="184" t="s">
        <v>1019</v>
      </c>
      <c r="K217" s="184" t="s">
        <v>1020</v>
      </c>
      <c r="L217" s="230">
        <v>7.48</v>
      </c>
      <c r="M217" s="100">
        <v>5700.0</v>
      </c>
      <c r="N217" s="187">
        <v>0.0</v>
      </c>
      <c r="O217" s="113">
        <v>1.906315838E9</v>
      </c>
      <c r="P217" s="113">
        <v>0.0</v>
      </c>
      <c r="Q217" s="188">
        <f t="shared" si="2"/>
        <v>1906315838</v>
      </c>
      <c r="R217" s="114">
        <v>0.0</v>
      </c>
      <c r="S217" s="114">
        <v>0.0</v>
      </c>
      <c r="T217" s="190">
        <f t="shared" si="3"/>
        <v>1906315838</v>
      </c>
      <c r="U217" s="221" t="s">
        <v>64</v>
      </c>
      <c r="V217" s="221" t="s">
        <v>64</v>
      </c>
      <c r="W217" s="192"/>
      <c r="X217" s="193">
        <v>45028.0</v>
      </c>
      <c r="Y217" s="193">
        <v>45303.0</v>
      </c>
      <c r="Z217" s="194"/>
      <c r="AA217" s="200">
        <v>0.0</v>
      </c>
      <c r="AB217" s="193">
        <v>45530.0</v>
      </c>
      <c r="AC217" s="66">
        <f t="shared" si="4"/>
        <v>-757</v>
      </c>
      <c r="AD217" s="55">
        <v>1539.0</v>
      </c>
      <c r="AE217" s="55">
        <v>570.0</v>
      </c>
      <c r="AF217" s="55"/>
      <c r="AG217" s="55"/>
      <c r="AH217" s="95">
        <f t="shared" si="40"/>
        <v>2109</v>
      </c>
      <c r="AI217" s="100">
        <v>2109.0</v>
      </c>
      <c r="AJ217" s="88">
        <f t="shared" si="67"/>
        <v>0</v>
      </c>
      <c r="AK217" s="201"/>
      <c r="AL217" s="201"/>
      <c r="AM217" s="201"/>
      <c r="AN217" s="201"/>
      <c r="AO217" s="201">
        <v>0.0</v>
      </c>
      <c r="AP217" s="178">
        <v>4161.0</v>
      </c>
      <c r="AQ217" s="187">
        <v>0.0</v>
      </c>
      <c r="AR217" s="113">
        <f t="shared" si="64"/>
        <v>1906315838</v>
      </c>
      <c r="AS217" s="113">
        <v>1.894398936E9</v>
      </c>
      <c r="AT217" s="198">
        <f t="shared" si="63"/>
        <v>0.73</v>
      </c>
      <c r="AU217" s="198">
        <f t="shared" si="23"/>
        <v>0.9937487263</v>
      </c>
      <c r="AV217" s="184" t="s">
        <v>1021</v>
      </c>
      <c r="AW217" s="215"/>
      <c r="AX217" s="366"/>
      <c r="AY217" s="215"/>
      <c r="AZ217" s="76"/>
      <c r="BA217" s="76"/>
      <c r="BB217" s="76"/>
      <c r="BC217" s="209"/>
      <c r="BD217" s="210"/>
      <c r="BE217" s="366"/>
    </row>
    <row r="218" ht="89.25" customHeight="1">
      <c r="A218" s="21">
        <v>217.0</v>
      </c>
      <c r="B218" s="22">
        <v>2023.0</v>
      </c>
      <c r="C218" s="23" t="s">
        <v>342</v>
      </c>
      <c r="D218" s="80" t="s">
        <v>74</v>
      </c>
      <c r="E218" s="23" t="s">
        <v>75</v>
      </c>
      <c r="F218" s="25" t="s">
        <v>1022</v>
      </c>
      <c r="G218" s="23" t="s">
        <v>344</v>
      </c>
      <c r="H218" s="23" t="str">
        <f t="shared" si="66"/>
        <v>ANORÍ</v>
      </c>
      <c r="I218" s="23" t="s">
        <v>104</v>
      </c>
      <c r="J218" s="23" t="s">
        <v>1023</v>
      </c>
      <c r="K218" s="23" t="s">
        <v>1024</v>
      </c>
      <c r="L218" s="23">
        <v>7.48</v>
      </c>
      <c r="M218" s="173">
        <v>1360.0</v>
      </c>
      <c r="N218" s="162">
        <v>0.0</v>
      </c>
      <c r="O218" s="82">
        <v>4.26333371E8</v>
      </c>
      <c r="P218" s="82">
        <v>0.0</v>
      </c>
      <c r="Q218" s="163">
        <f t="shared" si="2"/>
        <v>426333371</v>
      </c>
      <c r="R218" s="135">
        <v>0.0</v>
      </c>
      <c r="S218" s="135">
        <v>0.0</v>
      </c>
      <c r="T218" s="165">
        <f t="shared" si="3"/>
        <v>426333371</v>
      </c>
      <c r="U218" s="83" t="s">
        <v>64</v>
      </c>
      <c r="V218" s="83" t="s">
        <v>64</v>
      </c>
      <c r="W218" s="175"/>
      <c r="X218" s="176">
        <v>45138.0</v>
      </c>
      <c r="Y218" s="176">
        <v>45260.0</v>
      </c>
      <c r="Z218" s="177"/>
      <c r="AA218" s="160">
        <v>0.0</v>
      </c>
      <c r="AB218" s="176">
        <v>45382.0</v>
      </c>
      <c r="AC218" s="38">
        <f t="shared" si="4"/>
        <v>-905</v>
      </c>
      <c r="AD218" s="27"/>
      <c r="AE218" s="27"/>
      <c r="AF218" s="27"/>
      <c r="AG218" s="27"/>
      <c r="AH218" s="86">
        <f t="shared" si="40"/>
        <v>0</v>
      </c>
      <c r="AI218" s="178">
        <v>0.0</v>
      </c>
      <c r="AJ218" s="88">
        <f t="shared" si="67"/>
        <v>0</v>
      </c>
      <c r="AK218" s="166"/>
      <c r="AL218" s="166"/>
      <c r="AM218" s="166"/>
      <c r="AN218" s="166"/>
      <c r="AO218" s="166">
        <v>0.0</v>
      </c>
      <c r="AP218" s="178">
        <v>0.0</v>
      </c>
      <c r="AQ218" s="162">
        <v>0.0</v>
      </c>
      <c r="AR218" s="82">
        <f t="shared" si="64"/>
        <v>426333371</v>
      </c>
      <c r="AS218" s="82">
        <v>0.0</v>
      </c>
      <c r="AT218" s="171">
        <f t="shared" si="63"/>
        <v>0</v>
      </c>
      <c r="AU218" s="171">
        <f t="shared" si="23"/>
        <v>0</v>
      </c>
      <c r="AV218" s="23" t="s">
        <v>1025</v>
      </c>
      <c r="AW218" s="42"/>
      <c r="AX218" s="368"/>
      <c r="AY218" s="42"/>
      <c r="AZ218" s="92"/>
      <c r="BA218" s="92"/>
      <c r="BB218" s="92"/>
      <c r="BC218" s="102"/>
      <c r="BD218" s="44"/>
      <c r="BE218" s="368"/>
      <c r="BF218" s="93"/>
      <c r="BG218" s="93"/>
      <c r="BH218" s="93"/>
    </row>
    <row r="219" ht="89.25" customHeight="1">
      <c r="A219" s="21">
        <v>218.0</v>
      </c>
      <c r="B219" s="22">
        <v>2023.0</v>
      </c>
      <c r="C219" s="23" t="s">
        <v>342</v>
      </c>
      <c r="D219" s="80" t="s">
        <v>74</v>
      </c>
      <c r="E219" s="23" t="s">
        <v>75</v>
      </c>
      <c r="F219" s="25" t="s">
        <v>1026</v>
      </c>
      <c r="G219" s="23" t="s">
        <v>344</v>
      </c>
      <c r="H219" s="23" t="str">
        <f t="shared" si="66"/>
        <v>ANORÍ</v>
      </c>
      <c r="I219" s="23" t="s">
        <v>104</v>
      </c>
      <c r="J219" s="23" t="s">
        <v>1027</v>
      </c>
      <c r="K219" s="23" t="s">
        <v>1028</v>
      </c>
      <c r="L219" s="23">
        <v>7.48</v>
      </c>
      <c r="M219" s="173">
        <v>700.0</v>
      </c>
      <c r="N219" s="162">
        <v>0.0</v>
      </c>
      <c r="O219" s="82">
        <v>2.09794443E8</v>
      </c>
      <c r="P219" s="82">
        <v>0.0</v>
      </c>
      <c r="Q219" s="163">
        <f t="shared" si="2"/>
        <v>209794443</v>
      </c>
      <c r="R219" s="135">
        <v>0.0</v>
      </c>
      <c r="S219" s="135">
        <v>0.0</v>
      </c>
      <c r="T219" s="165">
        <f t="shared" si="3"/>
        <v>209794443</v>
      </c>
      <c r="U219" s="83" t="s">
        <v>64</v>
      </c>
      <c r="V219" s="83" t="s">
        <v>64</v>
      </c>
      <c r="W219" s="175"/>
      <c r="X219" s="176">
        <v>45034.0</v>
      </c>
      <c r="Y219" s="176">
        <v>45217.0</v>
      </c>
      <c r="Z219" s="177"/>
      <c r="AA219" s="160">
        <v>0.0</v>
      </c>
      <c r="AB219" s="176">
        <v>45491.0</v>
      </c>
      <c r="AC219" s="38">
        <f t="shared" si="4"/>
        <v>-796</v>
      </c>
      <c r="AD219" s="27">
        <v>560.0</v>
      </c>
      <c r="AE219" s="27"/>
      <c r="AF219" s="27"/>
      <c r="AG219" s="27"/>
      <c r="AH219" s="95">
        <f t="shared" si="40"/>
        <v>560</v>
      </c>
      <c r="AI219" s="178">
        <v>560.0</v>
      </c>
      <c r="AJ219" s="88">
        <f t="shared" si="67"/>
        <v>0</v>
      </c>
      <c r="AK219" s="166"/>
      <c r="AL219" s="166"/>
      <c r="AM219" s="166"/>
      <c r="AN219" s="166"/>
      <c r="AO219" s="166">
        <v>0.0</v>
      </c>
      <c r="AP219" s="87">
        <v>700.0</v>
      </c>
      <c r="AQ219" s="162">
        <v>0.0</v>
      </c>
      <c r="AR219" s="82">
        <f t="shared" si="64"/>
        <v>209794443</v>
      </c>
      <c r="AS219" s="82">
        <v>2.08811496E8</v>
      </c>
      <c r="AT219" s="278">
        <f t="shared" si="63"/>
        <v>1</v>
      </c>
      <c r="AU219" s="278">
        <f t="shared" si="23"/>
        <v>0.9953147138</v>
      </c>
      <c r="AV219" s="23" t="s">
        <v>1029</v>
      </c>
      <c r="AW219" s="42"/>
      <c r="AX219" s="368"/>
      <c r="AY219" s="42"/>
      <c r="AZ219" s="92"/>
      <c r="BA219" s="92"/>
      <c r="BB219" s="92"/>
      <c r="BC219" s="102"/>
      <c r="BD219" s="44"/>
      <c r="BE219" s="368"/>
      <c r="BF219" s="93"/>
      <c r="BG219" s="93"/>
      <c r="BH219" s="93"/>
    </row>
    <row r="220" ht="89.25" customHeight="1">
      <c r="A220" s="21">
        <v>219.0</v>
      </c>
      <c r="B220" s="22">
        <v>2023.0</v>
      </c>
      <c r="C220" s="23" t="s">
        <v>171</v>
      </c>
      <c r="D220" s="80" t="s">
        <v>74</v>
      </c>
      <c r="E220" s="23" t="s">
        <v>75</v>
      </c>
      <c r="F220" s="25" t="s">
        <v>1030</v>
      </c>
      <c r="G220" s="23" t="s">
        <v>77</v>
      </c>
      <c r="H220" s="23" t="str">
        <f t="shared" si="66"/>
        <v>BETANIA</v>
      </c>
      <c r="I220" s="23" t="s">
        <v>78</v>
      </c>
      <c r="J220" s="23" t="s">
        <v>1031</v>
      </c>
      <c r="K220" s="23" t="s">
        <v>1032</v>
      </c>
      <c r="L220" s="23">
        <v>7.48</v>
      </c>
      <c r="M220" s="173">
        <v>700.0</v>
      </c>
      <c r="N220" s="162">
        <v>0.0</v>
      </c>
      <c r="O220" s="82">
        <v>2.09791139E8</v>
      </c>
      <c r="P220" s="82">
        <v>0.0</v>
      </c>
      <c r="Q220" s="163">
        <f t="shared" si="2"/>
        <v>209791139</v>
      </c>
      <c r="R220" s="135">
        <v>0.0</v>
      </c>
      <c r="S220" s="135">
        <v>0.0</v>
      </c>
      <c r="T220" s="165">
        <f t="shared" si="3"/>
        <v>209791139</v>
      </c>
      <c r="U220" s="83" t="s">
        <v>220</v>
      </c>
      <c r="V220" s="83" t="s">
        <v>220</v>
      </c>
      <c r="W220" s="175"/>
      <c r="X220" s="176">
        <v>45049.0</v>
      </c>
      <c r="Y220" s="176">
        <v>45233.0</v>
      </c>
      <c r="Z220" s="177">
        <v>2.0</v>
      </c>
      <c r="AA220" s="160">
        <v>1.0</v>
      </c>
      <c r="AB220" s="176">
        <v>45352.0</v>
      </c>
      <c r="AC220" s="38">
        <f t="shared" si="4"/>
        <v>-935</v>
      </c>
      <c r="AD220" s="27"/>
      <c r="AE220" s="27">
        <v>294.0</v>
      </c>
      <c r="AF220" s="27"/>
      <c r="AG220" s="27"/>
      <c r="AH220" s="95">
        <f t="shared" si="40"/>
        <v>294</v>
      </c>
      <c r="AI220" s="178">
        <v>294.0</v>
      </c>
      <c r="AJ220" s="88">
        <f t="shared" si="67"/>
        <v>0</v>
      </c>
      <c r="AK220" s="166"/>
      <c r="AL220" s="166"/>
      <c r="AM220" s="166"/>
      <c r="AN220" s="166"/>
      <c r="AO220" s="166">
        <v>0.0</v>
      </c>
      <c r="AP220" s="87">
        <v>700.0</v>
      </c>
      <c r="AQ220" s="162">
        <v>0.0</v>
      </c>
      <c r="AR220" s="82">
        <f t="shared" si="64"/>
        <v>209791139</v>
      </c>
      <c r="AS220" s="82">
        <v>2.09758334E8</v>
      </c>
      <c r="AT220" s="238">
        <f t="shared" si="63"/>
        <v>1</v>
      </c>
      <c r="AU220" s="238">
        <f t="shared" si="23"/>
        <v>0.9998436302</v>
      </c>
      <c r="AV220" s="370" t="s">
        <v>1033</v>
      </c>
      <c r="AW220" s="42"/>
      <c r="AX220" s="368">
        <v>46265.0</v>
      </c>
      <c r="AY220" s="42" t="s">
        <v>273</v>
      </c>
      <c r="AZ220" s="44" t="s">
        <v>807</v>
      </c>
      <c r="BA220" s="44" t="s">
        <v>68</v>
      </c>
      <c r="BB220" s="45" t="s">
        <v>68</v>
      </c>
      <c r="BC220" s="102"/>
      <c r="BD220" s="44" t="s">
        <v>274</v>
      </c>
      <c r="BE220" s="368">
        <v>46266.0</v>
      </c>
      <c r="BF220" s="93"/>
      <c r="BG220" s="93"/>
      <c r="BH220" s="93"/>
    </row>
    <row r="221" ht="89.25" customHeight="1">
      <c r="A221" s="50">
        <v>220.0</v>
      </c>
      <c r="B221" s="51">
        <v>2023.0</v>
      </c>
      <c r="C221" s="184" t="s">
        <v>171</v>
      </c>
      <c r="D221" s="185" t="s">
        <v>74</v>
      </c>
      <c r="E221" s="184" t="s">
        <v>75</v>
      </c>
      <c r="F221" s="53" t="s">
        <v>1034</v>
      </c>
      <c r="G221" s="184" t="s">
        <v>77</v>
      </c>
      <c r="H221" s="184" t="str">
        <f t="shared" si="66"/>
        <v>BETANIA</v>
      </c>
      <c r="I221" s="184" t="s">
        <v>78</v>
      </c>
      <c r="J221" s="184" t="s">
        <v>1035</v>
      </c>
      <c r="K221" s="184" t="s">
        <v>1032</v>
      </c>
      <c r="L221" s="230">
        <v>7.48</v>
      </c>
      <c r="M221" s="100">
        <v>570.0</v>
      </c>
      <c r="N221" s="187">
        <v>0.0</v>
      </c>
      <c r="O221" s="113">
        <v>1.83843944E8</v>
      </c>
      <c r="P221" s="113">
        <v>0.0</v>
      </c>
      <c r="Q221" s="188">
        <f t="shared" si="2"/>
        <v>183843944</v>
      </c>
      <c r="R221" s="114">
        <v>0.0</v>
      </c>
      <c r="S221" s="114">
        <v>0.0</v>
      </c>
      <c r="T221" s="190">
        <f t="shared" si="3"/>
        <v>183843944</v>
      </c>
      <c r="U221" s="221" t="s">
        <v>220</v>
      </c>
      <c r="V221" s="221" t="s">
        <v>220</v>
      </c>
      <c r="W221" s="192"/>
      <c r="X221" s="193">
        <v>45118.0</v>
      </c>
      <c r="Y221" s="193">
        <v>45333.0</v>
      </c>
      <c r="Z221" s="194"/>
      <c r="AA221" s="200">
        <v>0.0</v>
      </c>
      <c r="AB221" s="193">
        <v>45333.0</v>
      </c>
      <c r="AC221" s="66">
        <f t="shared" si="4"/>
        <v>-954</v>
      </c>
      <c r="AD221" s="55"/>
      <c r="AE221" s="55"/>
      <c r="AF221" s="55"/>
      <c r="AG221" s="55"/>
      <c r="AH221" s="86">
        <f t="shared" si="40"/>
        <v>0</v>
      </c>
      <c r="AI221" s="178">
        <v>0.0</v>
      </c>
      <c r="AJ221" s="88">
        <f t="shared" si="67"/>
        <v>0</v>
      </c>
      <c r="AK221" s="201"/>
      <c r="AL221" s="201"/>
      <c r="AM221" s="201"/>
      <c r="AN221" s="201"/>
      <c r="AO221" s="201">
        <v>0.0</v>
      </c>
      <c r="AP221" s="178">
        <v>0.0</v>
      </c>
      <c r="AQ221" s="187">
        <v>0.0</v>
      </c>
      <c r="AR221" s="113">
        <f t="shared" si="64"/>
        <v>183843944</v>
      </c>
      <c r="AS221" s="113">
        <v>0.0</v>
      </c>
      <c r="AT221" s="198">
        <f t="shared" si="63"/>
        <v>0</v>
      </c>
      <c r="AU221" s="198">
        <f t="shared" si="23"/>
        <v>0</v>
      </c>
      <c r="AV221" s="184" t="s">
        <v>1036</v>
      </c>
      <c r="AW221" s="215"/>
      <c r="AX221" s="366">
        <v>46065.0</v>
      </c>
      <c r="AY221" s="215" t="s">
        <v>273</v>
      </c>
      <c r="AZ221" s="210" t="s">
        <v>807</v>
      </c>
      <c r="BA221" s="210" t="s">
        <v>68</v>
      </c>
      <c r="BB221" s="219" t="s">
        <v>68</v>
      </c>
      <c r="BC221" s="209"/>
      <c r="BD221" s="210" t="s">
        <v>274</v>
      </c>
      <c r="BE221" s="366">
        <v>46069.0</v>
      </c>
    </row>
    <row r="222" ht="89.25" customHeight="1">
      <c r="A222" s="21">
        <v>221.0</v>
      </c>
      <c r="B222" s="22">
        <v>2023.0</v>
      </c>
      <c r="C222" s="23" t="s">
        <v>234</v>
      </c>
      <c r="D222" s="80" t="s">
        <v>74</v>
      </c>
      <c r="E222" s="23" t="s">
        <v>75</v>
      </c>
      <c r="F222" s="25" t="s">
        <v>1037</v>
      </c>
      <c r="G222" s="23" t="s">
        <v>431</v>
      </c>
      <c r="H222" s="23" t="str">
        <f t="shared" si="66"/>
        <v>BURITICÁ</v>
      </c>
      <c r="I222" s="23" t="s">
        <v>78</v>
      </c>
      <c r="J222" s="23" t="s">
        <v>1038</v>
      </c>
      <c r="K222" s="23" t="s">
        <v>1039</v>
      </c>
      <c r="L222" s="23">
        <v>7.48</v>
      </c>
      <c r="M222" s="173">
        <v>560.0</v>
      </c>
      <c r="N222" s="162">
        <v>0.0</v>
      </c>
      <c r="O222" s="82">
        <v>1.80611984E8</v>
      </c>
      <c r="P222" s="82">
        <v>0.0</v>
      </c>
      <c r="Q222" s="163">
        <f t="shared" si="2"/>
        <v>180611984</v>
      </c>
      <c r="R222" s="135">
        <v>0.0</v>
      </c>
      <c r="S222" s="135">
        <v>0.0</v>
      </c>
      <c r="T222" s="165">
        <f t="shared" si="3"/>
        <v>180611984</v>
      </c>
      <c r="U222" s="83" t="s">
        <v>64</v>
      </c>
      <c r="V222" s="83" t="s">
        <v>64</v>
      </c>
      <c r="W222" s="175"/>
      <c r="X222" s="176">
        <v>45126.0</v>
      </c>
      <c r="Y222" s="176">
        <v>45310.0</v>
      </c>
      <c r="Z222" s="177"/>
      <c r="AA222" s="160">
        <v>0.0</v>
      </c>
      <c r="AB222" s="176">
        <v>45401.0</v>
      </c>
      <c r="AC222" s="38">
        <f t="shared" si="4"/>
        <v>-886</v>
      </c>
      <c r="AD222" s="27"/>
      <c r="AE222" s="27"/>
      <c r="AF222" s="27"/>
      <c r="AG222" s="27"/>
      <c r="AH222" s="86">
        <f t="shared" si="40"/>
        <v>0</v>
      </c>
      <c r="AI222" s="178">
        <v>0.0</v>
      </c>
      <c r="AJ222" s="88">
        <f t="shared" si="67"/>
        <v>0</v>
      </c>
      <c r="AK222" s="166"/>
      <c r="AL222" s="166"/>
      <c r="AM222" s="166"/>
      <c r="AN222" s="166"/>
      <c r="AO222" s="166">
        <v>0.0</v>
      </c>
      <c r="AP222" s="178">
        <v>0.0</v>
      </c>
      <c r="AQ222" s="162">
        <v>0.0</v>
      </c>
      <c r="AR222" s="82">
        <f t="shared" si="64"/>
        <v>180611984</v>
      </c>
      <c r="AS222" s="82">
        <v>0.0</v>
      </c>
      <c r="AT222" s="171">
        <f t="shared" si="63"/>
        <v>0</v>
      </c>
      <c r="AU222" s="171">
        <f t="shared" si="23"/>
        <v>0</v>
      </c>
      <c r="AV222" s="23" t="s">
        <v>1040</v>
      </c>
      <c r="AW222" s="42"/>
      <c r="AX222" s="368"/>
      <c r="AY222" s="42"/>
      <c r="AZ222" s="92"/>
      <c r="BA222" s="92"/>
      <c r="BB222" s="92"/>
      <c r="BC222" s="102"/>
      <c r="BD222" s="44"/>
      <c r="BE222" s="368"/>
      <c r="BF222" s="93"/>
      <c r="BG222" s="93"/>
      <c r="BH222" s="93"/>
    </row>
    <row r="223" ht="89.25" customHeight="1">
      <c r="A223" s="141">
        <v>222.0</v>
      </c>
      <c r="B223" s="136">
        <v>2023.0</v>
      </c>
      <c r="C223" s="240" t="s">
        <v>234</v>
      </c>
      <c r="D223" s="142" t="s">
        <v>74</v>
      </c>
      <c r="E223" s="240" t="s">
        <v>75</v>
      </c>
      <c r="F223" s="143" t="s">
        <v>1041</v>
      </c>
      <c r="G223" s="240" t="s">
        <v>236</v>
      </c>
      <c r="H223" s="240" t="str">
        <f t="shared" si="66"/>
        <v>CAÑASGORDAS</v>
      </c>
      <c r="I223" s="240" t="s">
        <v>127</v>
      </c>
      <c r="J223" s="240" t="s">
        <v>1042</v>
      </c>
      <c r="K223" s="240" t="s">
        <v>1043</v>
      </c>
      <c r="L223" s="240">
        <v>7.48</v>
      </c>
      <c r="M223" s="227">
        <v>2000.0</v>
      </c>
      <c r="N223" s="259">
        <v>0.0</v>
      </c>
      <c r="O223" s="144">
        <v>6.45077215E8</v>
      </c>
      <c r="P223" s="144">
        <v>0.0</v>
      </c>
      <c r="Q223" s="287">
        <f t="shared" si="2"/>
        <v>645077215</v>
      </c>
      <c r="R223" s="371">
        <v>0.0</v>
      </c>
      <c r="S223" s="371">
        <v>0.0</v>
      </c>
      <c r="T223" s="289">
        <f t="shared" si="3"/>
        <v>645077215</v>
      </c>
      <c r="U223" s="290" t="s">
        <v>220</v>
      </c>
      <c r="V223" s="290" t="s">
        <v>220</v>
      </c>
      <c r="W223" s="291"/>
      <c r="X223" s="292">
        <v>45119.0</v>
      </c>
      <c r="Y223" s="292">
        <v>45334.0</v>
      </c>
      <c r="Z223" s="293"/>
      <c r="AA223" s="372">
        <v>0.0</v>
      </c>
      <c r="AB223" s="292">
        <v>45334.0</v>
      </c>
      <c r="AC223" s="152">
        <f t="shared" si="4"/>
        <v>-953</v>
      </c>
      <c r="AD223" s="81"/>
      <c r="AE223" s="81"/>
      <c r="AF223" s="81"/>
      <c r="AG223" s="81"/>
      <c r="AH223" s="95">
        <f t="shared" si="40"/>
        <v>0</v>
      </c>
      <c r="AI223" s="197">
        <v>0.0</v>
      </c>
      <c r="AJ223" s="88">
        <f t="shared" si="67"/>
        <v>0</v>
      </c>
      <c r="AK223" s="373"/>
      <c r="AL223" s="373"/>
      <c r="AM223" s="373"/>
      <c r="AN223" s="373"/>
      <c r="AO223" s="373">
        <v>0.0</v>
      </c>
      <c r="AP223" s="197">
        <v>2000.0</v>
      </c>
      <c r="AQ223" s="259">
        <v>0.0</v>
      </c>
      <c r="AR223" s="144">
        <f t="shared" si="64"/>
        <v>645077215</v>
      </c>
      <c r="AS223" s="144">
        <v>6.35970659E8</v>
      </c>
      <c r="AT223" s="238">
        <f t="shared" si="63"/>
        <v>1</v>
      </c>
      <c r="AU223" s="238">
        <f t="shared" si="23"/>
        <v>0.9858829985</v>
      </c>
      <c r="AV223" s="253" t="s">
        <v>1044</v>
      </c>
      <c r="AW223" s="296"/>
      <c r="AX223" s="374">
        <v>46246.0</v>
      </c>
      <c r="AY223" s="296" t="s">
        <v>958</v>
      </c>
      <c r="AZ223" s="156"/>
      <c r="BA223" s="156"/>
      <c r="BB223" s="156"/>
      <c r="BC223" s="375">
        <v>6.35970659E8</v>
      </c>
      <c r="BD223" s="297" t="s">
        <v>67</v>
      </c>
      <c r="BE223" s="374"/>
      <c r="BF223" s="376"/>
      <c r="BG223" s="376"/>
      <c r="BH223" s="376"/>
    </row>
    <row r="224" ht="89.25" customHeight="1">
      <c r="A224" s="21">
        <v>223.0</v>
      </c>
      <c r="B224" s="22">
        <v>2023.0</v>
      </c>
      <c r="C224" s="23" t="s">
        <v>57</v>
      </c>
      <c r="D224" s="80" t="s">
        <v>74</v>
      </c>
      <c r="E224" s="23" t="s">
        <v>75</v>
      </c>
      <c r="F224" s="25" t="s">
        <v>1045</v>
      </c>
      <c r="G224" s="23" t="s">
        <v>354</v>
      </c>
      <c r="H224" s="23" t="str">
        <f t="shared" si="66"/>
        <v>CAREPA</v>
      </c>
      <c r="I224" s="23" t="s">
        <v>127</v>
      </c>
      <c r="J224" s="23" t="s">
        <v>1046</v>
      </c>
      <c r="K224" s="23" t="s">
        <v>1047</v>
      </c>
      <c r="L224" s="23">
        <v>7.48</v>
      </c>
      <c r="M224" s="173">
        <v>700.0</v>
      </c>
      <c r="N224" s="162">
        <v>0.0</v>
      </c>
      <c r="O224" s="82">
        <v>2.09786734E8</v>
      </c>
      <c r="P224" s="82">
        <v>0.0</v>
      </c>
      <c r="Q224" s="163">
        <f t="shared" si="2"/>
        <v>209786734</v>
      </c>
      <c r="R224" s="135">
        <v>0.0</v>
      </c>
      <c r="S224" s="135">
        <v>0.0</v>
      </c>
      <c r="T224" s="165">
        <f t="shared" si="3"/>
        <v>209786734</v>
      </c>
      <c r="U224" s="83" t="s">
        <v>220</v>
      </c>
      <c r="V224" s="83" t="s">
        <v>220</v>
      </c>
      <c r="W224" s="175"/>
      <c r="X224" s="176">
        <v>45063.0</v>
      </c>
      <c r="Y224" s="176">
        <v>45308.0</v>
      </c>
      <c r="Z224" s="177"/>
      <c r="AA224" s="160">
        <v>0.0</v>
      </c>
      <c r="AB224" s="176">
        <v>45351.0</v>
      </c>
      <c r="AC224" s="38">
        <f t="shared" si="4"/>
        <v>-936</v>
      </c>
      <c r="AD224" s="27"/>
      <c r="AE224" s="27"/>
      <c r="AF224" s="27"/>
      <c r="AG224" s="27"/>
      <c r="AH224" s="95">
        <f t="shared" si="40"/>
        <v>0</v>
      </c>
      <c r="AI224" s="178">
        <v>0.0</v>
      </c>
      <c r="AJ224" s="88">
        <f t="shared" si="67"/>
        <v>0</v>
      </c>
      <c r="AK224" s="166"/>
      <c r="AL224" s="166"/>
      <c r="AM224" s="166"/>
      <c r="AN224" s="166"/>
      <c r="AO224" s="166">
        <v>0.0</v>
      </c>
      <c r="AP224" s="178">
        <v>313.0</v>
      </c>
      <c r="AQ224" s="162">
        <v>0.0</v>
      </c>
      <c r="AR224" s="82">
        <f t="shared" si="64"/>
        <v>209786734</v>
      </c>
      <c r="AS224" s="82">
        <v>2.00509383E8</v>
      </c>
      <c r="AT224" s="171">
        <f t="shared" si="63"/>
        <v>0.4471428571</v>
      </c>
      <c r="AU224" s="171">
        <f t="shared" si="23"/>
        <v>0.9557772276</v>
      </c>
      <c r="AV224" s="370" t="s">
        <v>1048</v>
      </c>
      <c r="AW224" s="42"/>
      <c r="AX224" s="368">
        <v>46255.0</v>
      </c>
      <c r="AY224" s="42" t="s">
        <v>958</v>
      </c>
      <c r="AZ224" s="92"/>
      <c r="BA224" s="92"/>
      <c r="BB224" s="92"/>
      <c r="BC224" s="377" t="s">
        <v>1049</v>
      </c>
      <c r="BD224" s="44" t="s">
        <v>67</v>
      </c>
      <c r="BE224" s="368"/>
      <c r="BF224" s="93"/>
      <c r="BG224" s="93"/>
      <c r="BH224" s="93"/>
    </row>
    <row r="225" ht="89.25" customHeight="1">
      <c r="A225" s="21">
        <v>224.0</v>
      </c>
      <c r="B225" s="22">
        <v>2023.0</v>
      </c>
      <c r="C225" s="23" t="s">
        <v>57</v>
      </c>
      <c r="D225" s="80" t="s">
        <v>74</v>
      </c>
      <c r="E225" s="23" t="s">
        <v>75</v>
      </c>
      <c r="F225" s="25" t="s">
        <v>1050</v>
      </c>
      <c r="G225" s="23" t="s">
        <v>895</v>
      </c>
      <c r="H225" s="23" t="str">
        <f t="shared" si="66"/>
        <v>CHIGORODÓ</v>
      </c>
      <c r="I225" s="23" t="s">
        <v>61</v>
      </c>
      <c r="J225" s="23" t="s">
        <v>1051</v>
      </c>
      <c r="K225" s="23" t="s">
        <v>1052</v>
      </c>
      <c r="L225" s="23">
        <v>7.48</v>
      </c>
      <c r="M225" s="173">
        <v>700.0</v>
      </c>
      <c r="N225" s="162">
        <v>0.0</v>
      </c>
      <c r="O225" s="82">
        <v>2.09789614E8</v>
      </c>
      <c r="P225" s="82">
        <v>0.0</v>
      </c>
      <c r="Q225" s="163">
        <f t="shared" si="2"/>
        <v>209789614</v>
      </c>
      <c r="R225" s="135">
        <v>0.0</v>
      </c>
      <c r="S225" s="135">
        <v>0.0</v>
      </c>
      <c r="T225" s="165">
        <f t="shared" si="3"/>
        <v>209789614</v>
      </c>
      <c r="U225" s="83" t="s">
        <v>64</v>
      </c>
      <c r="V225" s="83" t="s">
        <v>64</v>
      </c>
      <c r="W225" s="175"/>
      <c r="X225" s="176">
        <v>45036.0</v>
      </c>
      <c r="Y225" s="176">
        <v>45234.0</v>
      </c>
      <c r="Z225" s="177"/>
      <c r="AA225" s="160">
        <v>0.0</v>
      </c>
      <c r="AB225" s="176">
        <v>45628.0</v>
      </c>
      <c r="AC225" s="38">
        <f t="shared" si="4"/>
        <v>-659</v>
      </c>
      <c r="AD225" s="27">
        <v>392.0</v>
      </c>
      <c r="AE225" s="27"/>
      <c r="AF225" s="27"/>
      <c r="AG225" s="27"/>
      <c r="AH225" s="95">
        <f t="shared" si="40"/>
        <v>392</v>
      </c>
      <c r="AI225" s="173">
        <v>392.0</v>
      </c>
      <c r="AJ225" s="88">
        <f t="shared" si="67"/>
        <v>0</v>
      </c>
      <c r="AK225" s="166"/>
      <c r="AL225" s="166"/>
      <c r="AM225" s="166"/>
      <c r="AN225" s="166"/>
      <c r="AO225" s="166">
        <v>0.0</v>
      </c>
      <c r="AP225" s="178">
        <v>462.0</v>
      </c>
      <c r="AQ225" s="162">
        <v>0.0</v>
      </c>
      <c r="AR225" s="82">
        <f t="shared" si="64"/>
        <v>209789614</v>
      </c>
      <c r="AS225" s="82">
        <v>1.477283E8</v>
      </c>
      <c r="AT225" s="171">
        <f t="shared" si="63"/>
        <v>0.66</v>
      </c>
      <c r="AU225" s="171">
        <f t="shared" si="23"/>
        <v>0.7041735631</v>
      </c>
      <c r="AV225" s="370" t="s">
        <v>1053</v>
      </c>
      <c r="AW225" s="42"/>
      <c r="AX225" s="368"/>
      <c r="AY225" s="42"/>
      <c r="AZ225" s="92"/>
      <c r="BA225" s="92"/>
      <c r="BB225" s="92"/>
      <c r="BC225" s="102"/>
      <c r="BD225" s="44"/>
      <c r="BE225" s="368"/>
      <c r="BF225" s="93"/>
      <c r="BG225" s="93"/>
      <c r="BH225" s="93"/>
    </row>
    <row r="226" ht="89.25" customHeight="1">
      <c r="A226" s="21">
        <v>225.0</v>
      </c>
      <c r="B226" s="22">
        <v>2023.0</v>
      </c>
      <c r="C226" s="23" t="s">
        <v>358</v>
      </c>
      <c r="D226" s="80" t="s">
        <v>74</v>
      </c>
      <c r="E226" s="23" t="s">
        <v>75</v>
      </c>
      <c r="F226" s="25" t="s">
        <v>1054</v>
      </c>
      <c r="G226" s="23" t="s">
        <v>895</v>
      </c>
      <c r="H226" s="23" t="str">
        <f t="shared" si="66"/>
        <v>CHIGORODÓ</v>
      </c>
      <c r="I226" s="23" t="s">
        <v>61</v>
      </c>
      <c r="J226" s="23" t="s">
        <v>1051</v>
      </c>
      <c r="K226" s="23" t="s">
        <v>1055</v>
      </c>
      <c r="L226" s="23">
        <v>7.48</v>
      </c>
      <c r="M226" s="173">
        <v>1200.0</v>
      </c>
      <c r="N226" s="162">
        <v>0.0</v>
      </c>
      <c r="O226" s="82">
        <v>3.8703816E8</v>
      </c>
      <c r="P226" s="82">
        <v>0.0</v>
      </c>
      <c r="Q226" s="163">
        <f t="shared" si="2"/>
        <v>387038160</v>
      </c>
      <c r="R226" s="135">
        <v>0.0</v>
      </c>
      <c r="S226" s="135">
        <v>0.0</v>
      </c>
      <c r="T226" s="165">
        <f t="shared" si="3"/>
        <v>387038160</v>
      </c>
      <c r="U226" s="83" t="s">
        <v>220</v>
      </c>
      <c r="V226" s="83" t="s">
        <v>220</v>
      </c>
      <c r="W226" s="175"/>
      <c r="X226" s="176">
        <v>45105.0</v>
      </c>
      <c r="Y226" s="176">
        <v>45258.0</v>
      </c>
      <c r="Z226" s="177"/>
      <c r="AA226" s="160">
        <v>0.0</v>
      </c>
      <c r="AB226" s="176">
        <v>45382.0</v>
      </c>
      <c r="AC226" s="38">
        <f t="shared" si="4"/>
        <v>-905</v>
      </c>
      <c r="AD226" s="27"/>
      <c r="AE226" s="27">
        <v>720.0</v>
      </c>
      <c r="AF226" s="27"/>
      <c r="AG226" s="27"/>
      <c r="AH226" s="95">
        <f t="shared" si="40"/>
        <v>720</v>
      </c>
      <c r="AI226" s="178">
        <v>720.0</v>
      </c>
      <c r="AJ226" s="88">
        <f t="shared" si="67"/>
        <v>0</v>
      </c>
      <c r="AK226" s="166"/>
      <c r="AL226" s="166"/>
      <c r="AM226" s="166"/>
      <c r="AN226" s="166"/>
      <c r="AO226" s="166">
        <v>0.0</v>
      </c>
      <c r="AP226" s="87">
        <v>1200.0</v>
      </c>
      <c r="AQ226" s="162">
        <v>0.0</v>
      </c>
      <c r="AR226" s="82">
        <f t="shared" si="64"/>
        <v>387038160</v>
      </c>
      <c r="AS226" s="82">
        <v>3.82101323E8</v>
      </c>
      <c r="AT226" s="171">
        <f t="shared" si="63"/>
        <v>1</v>
      </c>
      <c r="AU226" s="171">
        <f t="shared" si="23"/>
        <v>0.987244573</v>
      </c>
      <c r="AV226" s="23" t="s">
        <v>1056</v>
      </c>
      <c r="AW226" s="42"/>
      <c r="AX226" s="368">
        <v>46245.0</v>
      </c>
      <c r="AY226" s="42" t="s">
        <v>273</v>
      </c>
      <c r="AZ226" s="92"/>
      <c r="BA226" s="92"/>
      <c r="BB226" s="92"/>
      <c r="BC226" s="102"/>
      <c r="BD226" s="44" t="s">
        <v>67</v>
      </c>
      <c r="BE226" s="368"/>
      <c r="BF226" s="93"/>
      <c r="BG226" s="93"/>
      <c r="BH226" s="93"/>
    </row>
    <row r="227" ht="89.25" customHeight="1">
      <c r="A227" s="21">
        <v>226.0</v>
      </c>
      <c r="B227" s="22">
        <v>2023.0</v>
      </c>
      <c r="C227" s="23" t="s">
        <v>328</v>
      </c>
      <c r="D227" s="80" t="s">
        <v>74</v>
      </c>
      <c r="E227" s="23" t="s">
        <v>75</v>
      </c>
      <c r="F227" s="25" t="s">
        <v>1057</v>
      </c>
      <c r="G227" s="23" t="s">
        <v>330</v>
      </c>
      <c r="H227" s="23" t="str">
        <f t="shared" si="66"/>
        <v>CISNEROS</v>
      </c>
      <c r="I227" s="23" t="s">
        <v>104</v>
      </c>
      <c r="J227" s="23" t="s">
        <v>1058</v>
      </c>
      <c r="K227" s="23" t="s">
        <v>1059</v>
      </c>
      <c r="L227" s="23">
        <v>7.48</v>
      </c>
      <c r="M227" s="173">
        <v>2200.0</v>
      </c>
      <c r="N227" s="162">
        <v>0.0</v>
      </c>
      <c r="O227" s="82">
        <v>6.59330365E8</v>
      </c>
      <c r="P227" s="82">
        <v>0.0</v>
      </c>
      <c r="Q227" s="163">
        <f t="shared" si="2"/>
        <v>659330365</v>
      </c>
      <c r="R227" s="135">
        <v>0.0</v>
      </c>
      <c r="S227" s="135">
        <v>0.0</v>
      </c>
      <c r="T227" s="165">
        <f t="shared" si="3"/>
        <v>659330365</v>
      </c>
      <c r="U227" s="83" t="s">
        <v>220</v>
      </c>
      <c r="V227" s="83" t="s">
        <v>220</v>
      </c>
      <c r="W227" s="175"/>
      <c r="X227" s="176">
        <v>45075.0</v>
      </c>
      <c r="Y227" s="176">
        <v>45259.0</v>
      </c>
      <c r="Z227" s="177"/>
      <c r="AA227" s="160">
        <v>0.0</v>
      </c>
      <c r="AB227" s="176">
        <v>45364.0</v>
      </c>
      <c r="AC227" s="38">
        <f t="shared" si="4"/>
        <v>-923</v>
      </c>
      <c r="AD227" s="27">
        <v>1650.0</v>
      </c>
      <c r="AE227" s="27"/>
      <c r="AF227" s="27"/>
      <c r="AG227" s="27"/>
      <c r="AH227" s="95">
        <f t="shared" si="40"/>
        <v>1650</v>
      </c>
      <c r="AI227" s="178">
        <v>1650.0</v>
      </c>
      <c r="AJ227" s="88">
        <f t="shared" si="67"/>
        <v>0</v>
      </c>
      <c r="AK227" s="166"/>
      <c r="AL227" s="166"/>
      <c r="AM227" s="166"/>
      <c r="AN227" s="166"/>
      <c r="AO227" s="166">
        <v>0.0</v>
      </c>
      <c r="AP227" s="87">
        <v>2200.0</v>
      </c>
      <c r="AQ227" s="162">
        <v>0.0</v>
      </c>
      <c r="AR227" s="82">
        <f t="shared" si="64"/>
        <v>659330365</v>
      </c>
      <c r="AS227" s="82">
        <v>6.59330365E8</v>
      </c>
      <c r="AT227" s="171">
        <f t="shared" si="63"/>
        <v>1</v>
      </c>
      <c r="AU227" s="171">
        <f t="shared" si="23"/>
        <v>1</v>
      </c>
      <c r="AV227" s="297" t="s">
        <v>1060</v>
      </c>
      <c r="AW227" s="42"/>
      <c r="AX227" s="368">
        <v>46268.0</v>
      </c>
      <c r="AY227" s="42" t="s">
        <v>958</v>
      </c>
      <c r="AZ227" s="92"/>
      <c r="BA227" s="92"/>
      <c r="BB227" s="92"/>
      <c r="BC227" s="369" t="s">
        <v>1061</v>
      </c>
      <c r="BD227" s="44" t="s">
        <v>67</v>
      </c>
      <c r="BE227" s="368"/>
      <c r="BF227" s="93"/>
      <c r="BG227" s="93"/>
      <c r="BH227" s="93"/>
    </row>
    <row r="228" ht="89.25" customHeight="1">
      <c r="A228" s="21">
        <v>227.0</v>
      </c>
      <c r="B228" s="22">
        <v>2023.0</v>
      </c>
      <c r="C228" s="23" t="s">
        <v>328</v>
      </c>
      <c r="D228" s="80" t="s">
        <v>74</v>
      </c>
      <c r="E228" s="23" t="s">
        <v>75</v>
      </c>
      <c r="F228" s="25" t="s">
        <v>1062</v>
      </c>
      <c r="G228" s="23" t="s">
        <v>330</v>
      </c>
      <c r="H228" s="23" t="str">
        <f t="shared" si="66"/>
        <v>CISNEROS</v>
      </c>
      <c r="I228" s="23" t="s">
        <v>104</v>
      </c>
      <c r="J228" s="23" t="s">
        <v>1058</v>
      </c>
      <c r="K228" s="23" t="s">
        <v>1059</v>
      </c>
      <c r="L228" s="23">
        <v>7.48</v>
      </c>
      <c r="M228" s="173">
        <v>500.0</v>
      </c>
      <c r="N228" s="162">
        <v>0.0</v>
      </c>
      <c r="O228" s="82">
        <v>1.61265641E8</v>
      </c>
      <c r="P228" s="82">
        <v>0.0</v>
      </c>
      <c r="Q228" s="163">
        <f t="shared" si="2"/>
        <v>161265641</v>
      </c>
      <c r="R228" s="135">
        <v>0.0</v>
      </c>
      <c r="S228" s="135">
        <v>0.0</v>
      </c>
      <c r="T228" s="165">
        <f t="shared" si="3"/>
        <v>161265641</v>
      </c>
      <c r="U228" s="83" t="s">
        <v>64</v>
      </c>
      <c r="V228" s="83" t="s">
        <v>64</v>
      </c>
      <c r="W228" s="175"/>
      <c r="X228" s="176">
        <v>45119.0</v>
      </c>
      <c r="Y228" s="176">
        <v>45303.0</v>
      </c>
      <c r="Z228" s="177"/>
      <c r="AA228" s="160">
        <v>0.0</v>
      </c>
      <c r="AB228" s="176">
        <v>45423.0</v>
      </c>
      <c r="AC228" s="38">
        <f t="shared" si="4"/>
        <v>-864</v>
      </c>
      <c r="AD228" s="27">
        <v>365.0</v>
      </c>
      <c r="AE228" s="27"/>
      <c r="AF228" s="27"/>
      <c r="AG228" s="27"/>
      <c r="AH228" s="95">
        <f t="shared" si="40"/>
        <v>365</v>
      </c>
      <c r="AI228" s="178">
        <v>365.0</v>
      </c>
      <c r="AJ228" s="88">
        <f t="shared" si="67"/>
        <v>0</v>
      </c>
      <c r="AK228" s="166"/>
      <c r="AL228" s="166"/>
      <c r="AM228" s="166"/>
      <c r="AN228" s="166"/>
      <c r="AO228" s="166">
        <v>0.0</v>
      </c>
      <c r="AP228" s="87">
        <v>500.0</v>
      </c>
      <c r="AQ228" s="162">
        <v>0.0</v>
      </c>
      <c r="AR228" s="82">
        <f t="shared" si="64"/>
        <v>161265641</v>
      </c>
      <c r="AS228" s="82">
        <v>1.60133795E8</v>
      </c>
      <c r="AT228" s="171">
        <f t="shared" si="63"/>
        <v>1</v>
      </c>
      <c r="AU228" s="171">
        <f t="shared" si="23"/>
        <v>0.9929814808</v>
      </c>
      <c r="AV228" s="297" t="s">
        <v>1063</v>
      </c>
      <c r="AW228" s="42"/>
      <c r="AX228" s="368"/>
      <c r="AY228" s="42"/>
      <c r="AZ228" s="92"/>
      <c r="BA228" s="92"/>
      <c r="BB228" s="92"/>
      <c r="BC228" s="102"/>
      <c r="BD228" s="44"/>
      <c r="BE228" s="368"/>
      <c r="BF228" s="93"/>
      <c r="BG228" s="93"/>
      <c r="BH228" s="93"/>
    </row>
    <row r="229" ht="89.25" customHeight="1">
      <c r="A229" s="50">
        <v>228.0</v>
      </c>
      <c r="B229" s="51">
        <v>2023.0</v>
      </c>
      <c r="C229" s="184" t="s">
        <v>267</v>
      </c>
      <c r="D229" s="185" t="s">
        <v>74</v>
      </c>
      <c r="E229" s="184" t="s">
        <v>75</v>
      </c>
      <c r="F229" s="53" t="s">
        <v>1064</v>
      </c>
      <c r="G229" s="184" t="s">
        <v>269</v>
      </c>
      <c r="H229" s="184" t="str">
        <f t="shared" si="66"/>
        <v>COCORNÁ</v>
      </c>
      <c r="I229" s="184" t="s">
        <v>120</v>
      </c>
      <c r="J229" s="184" t="s">
        <v>1065</v>
      </c>
      <c r="K229" s="184" t="s">
        <v>1066</v>
      </c>
      <c r="L229" s="184">
        <v>7.0</v>
      </c>
      <c r="M229" s="100">
        <v>560.0</v>
      </c>
      <c r="N229" s="187">
        <v>0.0</v>
      </c>
      <c r="O229" s="113">
        <v>1.72278696E8</v>
      </c>
      <c r="P229" s="113">
        <v>0.0</v>
      </c>
      <c r="Q229" s="188">
        <f t="shared" si="2"/>
        <v>172278696</v>
      </c>
      <c r="R229" s="114">
        <v>0.0</v>
      </c>
      <c r="S229" s="114">
        <v>0.0</v>
      </c>
      <c r="T229" s="190">
        <f t="shared" si="3"/>
        <v>172278696</v>
      </c>
      <c r="U229" s="221" t="s">
        <v>220</v>
      </c>
      <c r="V229" s="221" t="s">
        <v>220</v>
      </c>
      <c r="W229" s="192"/>
      <c r="X229" s="193">
        <v>45126.0</v>
      </c>
      <c r="Y229" s="193">
        <v>45341.0</v>
      </c>
      <c r="Z229" s="194"/>
      <c r="AA229" s="200">
        <v>0.0</v>
      </c>
      <c r="AB229" s="193">
        <v>45341.0</v>
      </c>
      <c r="AC229" s="66">
        <f t="shared" si="4"/>
        <v>-946</v>
      </c>
      <c r="AD229" s="55"/>
      <c r="AE229" s="55"/>
      <c r="AF229" s="55"/>
      <c r="AG229" s="55"/>
      <c r="AH229" s="95">
        <f t="shared" si="40"/>
        <v>0</v>
      </c>
      <c r="AI229" s="178">
        <v>0.0</v>
      </c>
      <c r="AJ229" s="88">
        <f t="shared" si="67"/>
        <v>0</v>
      </c>
      <c r="AK229" s="201"/>
      <c r="AL229" s="201"/>
      <c r="AM229" s="201"/>
      <c r="AN229" s="201"/>
      <c r="AO229" s="201">
        <v>0.0</v>
      </c>
      <c r="AP229" s="178">
        <v>560.0</v>
      </c>
      <c r="AQ229" s="187">
        <v>0.0</v>
      </c>
      <c r="AR229" s="113">
        <f t="shared" si="64"/>
        <v>172278696</v>
      </c>
      <c r="AS229" s="113">
        <v>1.71371117E8</v>
      </c>
      <c r="AT229" s="198">
        <f t="shared" si="63"/>
        <v>1</v>
      </c>
      <c r="AU229" s="198">
        <f t="shared" si="23"/>
        <v>0.9947319139</v>
      </c>
      <c r="AV229" s="184" t="s">
        <v>1067</v>
      </c>
      <c r="AW229" s="215"/>
      <c r="AX229" s="366"/>
      <c r="AY229" s="215"/>
      <c r="AZ229" s="76"/>
      <c r="BA229" s="76"/>
      <c r="BB229" s="76"/>
      <c r="BC229" s="209"/>
      <c r="BD229" s="210"/>
      <c r="BE229" s="366"/>
    </row>
    <row r="230" ht="89.25" customHeight="1">
      <c r="A230" s="50">
        <v>229.0</v>
      </c>
      <c r="B230" s="51">
        <v>2023.0</v>
      </c>
      <c r="C230" s="184" t="s">
        <v>342</v>
      </c>
      <c r="D230" s="185" t="s">
        <v>74</v>
      </c>
      <c r="E230" s="184" t="s">
        <v>75</v>
      </c>
      <c r="F230" s="53" t="s">
        <v>1068</v>
      </c>
      <c r="G230" s="184" t="s">
        <v>252</v>
      </c>
      <c r="H230" s="184" t="str">
        <f t="shared" si="66"/>
        <v>EL BAGRE</v>
      </c>
      <c r="I230" s="184" t="s">
        <v>85</v>
      </c>
      <c r="J230" s="184" t="s">
        <v>1069</v>
      </c>
      <c r="K230" s="184" t="s">
        <v>1070</v>
      </c>
      <c r="L230" s="184">
        <v>7.0</v>
      </c>
      <c r="M230" s="100">
        <v>700.0</v>
      </c>
      <c r="N230" s="187">
        <v>0.0</v>
      </c>
      <c r="O230" s="113">
        <v>2.38347465E8</v>
      </c>
      <c r="P230" s="113">
        <v>0.0</v>
      </c>
      <c r="Q230" s="188">
        <f t="shared" si="2"/>
        <v>238347465</v>
      </c>
      <c r="R230" s="114">
        <v>0.0</v>
      </c>
      <c r="S230" s="114">
        <v>0.0</v>
      </c>
      <c r="T230" s="190">
        <f t="shared" si="3"/>
        <v>238347465</v>
      </c>
      <c r="U230" s="221" t="s">
        <v>64</v>
      </c>
      <c r="V230" s="221" t="s">
        <v>64</v>
      </c>
      <c r="W230" s="192"/>
      <c r="X230" s="193">
        <v>45126.0</v>
      </c>
      <c r="Y230" s="193">
        <v>45310.0</v>
      </c>
      <c r="Z230" s="194">
        <v>3.0</v>
      </c>
      <c r="AA230" s="200">
        <v>1.0</v>
      </c>
      <c r="AB230" s="193">
        <v>45431.0</v>
      </c>
      <c r="AC230" s="66">
        <f t="shared" si="4"/>
        <v>-856</v>
      </c>
      <c r="AD230" s="55">
        <v>700.0</v>
      </c>
      <c r="AE230" s="55"/>
      <c r="AF230" s="55"/>
      <c r="AG230" s="55"/>
      <c r="AH230" s="95">
        <f t="shared" si="40"/>
        <v>700</v>
      </c>
      <c r="AI230" s="178">
        <v>700.0</v>
      </c>
      <c r="AJ230" s="88">
        <f t="shared" si="67"/>
        <v>0</v>
      </c>
      <c r="AK230" s="201"/>
      <c r="AL230" s="201"/>
      <c r="AM230" s="201"/>
      <c r="AN230" s="201"/>
      <c r="AO230" s="201">
        <v>0.0</v>
      </c>
      <c r="AP230" s="87">
        <v>700.0</v>
      </c>
      <c r="AQ230" s="187">
        <v>0.0</v>
      </c>
      <c r="AR230" s="113">
        <f t="shared" si="64"/>
        <v>238347465</v>
      </c>
      <c r="AS230" s="113">
        <v>2.37882293E8</v>
      </c>
      <c r="AT230" s="198">
        <f t="shared" si="63"/>
        <v>1</v>
      </c>
      <c r="AU230" s="198">
        <f t="shared" si="23"/>
        <v>0.9980483451</v>
      </c>
      <c r="AV230" s="184" t="s">
        <v>1071</v>
      </c>
      <c r="AW230" s="215"/>
      <c r="AX230" s="366"/>
      <c r="AY230" s="215"/>
      <c r="AZ230" s="76"/>
      <c r="BA230" s="76"/>
      <c r="BB230" s="76"/>
      <c r="BC230" s="209"/>
      <c r="BD230" s="210"/>
      <c r="BE230" s="366"/>
    </row>
    <row r="231" ht="89.25" customHeight="1">
      <c r="A231" s="50">
        <v>230.0</v>
      </c>
      <c r="B231" s="51">
        <v>2023.0</v>
      </c>
      <c r="C231" s="184" t="s">
        <v>267</v>
      </c>
      <c r="D231" s="185" t="s">
        <v>74</v>
      </c>
      <c r="E231" s="184" t="s">
        <v>75</v>
      </c>
      <c r="F231" s="53" t="s">
        <v>1072</v>
      </c>
      <c r="G231" s="184" t="s">
        <v>281</v>
      </c>
      <c r="H231" s="184" t="str">
        <f t="shared" si="66"/>
        <v>EL PEÑOL</v>
      </c>
      <c r="I231" s="184" t="s">
        <v>120</v>
      </c>
      <c r="J231" s="184" t="s">
        <v>1073</v>
      </c>
      <c r="K231" s="184" t="s">
        <v>1074</v>
      </c>
      <c r="L231" s="184">
        <v>6.0</v>
      </c>
      <c r="M231" s="100">
        <v>1000.0</v>
      </c>
      <c r="N231" s="187">
        <v>0.0</v>
      </c>
      <c r="O231" s="113">
        <v>3.18378843E8</v>
      </c>
      <c r="P231" s="113">
        <v>0.0</v>
      </c>
      <c r="Q231" s="188">
        <f t="shared" si="2"/>
        <v>318378843</v>
      </c>
      <c r="R231" s="114">
        <v>0.0</v>
      </c>
      <c r="S231" s="114">
        <v>0.0</v>
      </c>
      <c r="T231" s="190">
        <f t="shared" si="3"/>
        <v>318378843</v>
      </c>
      <c r="U231" s="221" t="s">
        <v>220</v>
      </c>
      <c r="V231" s="221" t="s">
        <v>220</v>
      </c>
      <c r="W231" s="192"/>
      <c r="X231" s="193">
        <v>45126.0</v>
      </c>
      <c r="Y231" s="193">
        <v>45310.0</v>
      </c>
      <c r="Z231" s="194">
        <v>0.0</v>
      </c>
      <c r="AA231" s="200">
        <v>0.0</v>
      </c>
      <c r="AB231" s="193">
        <v>45310.0</v>
      </c>
      <c r="AC231" s="66">
        <f t="shared" si="4"/>
        <v>-977</v>
      </c>
      <c r="AD231" s="55"/>
      <c r="AE231" s="55"/>
      <c r="AF231" s="55"/>
      <c r="AG231" s="55"/>
      <c r="AH231" s="95">
        <f t="shared" si="40"/>
        <v>0</v>
      </c>
      <c r="AI231" s="178">
        <v>0.0</v>
      </c>
      <c r="AJ231" s="88">
        <f t="shared" si="67"/>
        <v>0</v>
      </c>
      <c r="AK231" s="201"/>
      <c r="AL231" s="201"/>
      <c r="AM231" s="201"/>
      <c r="AN231" s="201"/>
      <c r="AO231" s="201">
        <v>0.0</v>
      </c>
      <c r="AP231" s="178">
        <v>1000.0</v>
      </c>
      <c r="AQ231" s="187">
        <v>0.0</v>
      </c>
      <c r="AR231" s="113">
        <f t="shared" si="64"/>
        <v>318378843</v>
      </c>
      <c r="AS231" s="113">
        <v>3.14085463E8</v>
      </c>
      <c r="AT231" s="198">
        <f t="shared" si="63"/>
        <v>1</v>
      </c>
      <c r="AU231" s="198">
        <f t="shared" si="23"/>
        <v>0.9865148703</v>
      </c>
      <c r="AV231" s="184" t="s">
        <v>220</v>
      </c>
      <c r="AW231" s="215"/>
      <c r="AX231" s="366"/>
      <c r="AY231" s="215"/>
      <c r="AZ231" s="76"/>
      <c r="BA231" s="76"/>
      <c r="BB231" s="76"/>
      <c r="BC231" s="209"/>
      <c r="BD231" s="210"/>
      <c r="BE231" s="366"/>
    </row>
    <row r="232" ht="89.25" customHeight="1">
      <c r="A232" s="21">
        <v>231.0</v>
      </c>
      <c r="B232" s="22">
        <v>2023.0</v>
      </c>
      <c r="C232" s="23" t="s">
        <v>234</v>
      </c>
      <c r="D232" s="80" t="s">
        <v>74</v>
      </c>
      <c r="E232" s="23" t="s">
        <v>75</v>
      </c>
      <c r="F232" s="25" t="s">
        <v>1075</v>
      </c>
      <c r="G232" s="23" t="s">
        <v>517</v>
      </c>
      <c r="H232" s="23" t="str">
        <f t="shared" si="66"/>
        <v>FRONTINO</v>
      </c>
      <c r="I232" s="23" t="s">
        <v>127</v>
      </c>
      <c r="J232" s="23" t="s">
        <v>1076</v>
      </c>
      <c r="K232" s="23" t="s">
        <v>1077</v>
      </c>
      <c r="L232" s="23">
        <v>5.0</v>
      </c>
      <c r="M232" s="173">
        <v>560.0</v>
      </c>
      <c r="N232" s="162">
        <v>0.0</v>
      </c>
      <c r="O232" s="82">
        <v>1.29800189E8</v>
      </c>
      <c r="P232" s="82">
        <v>0.0</v>
      </c>
      <c r="Q232" s="163">
        <f t="shared" si="2"/>
        <v>129800189</v>
      </c>
      <c r="R232" s="135">
        <v>0.0</v>
      </c>
      <c r="S232" s="135">
        <v>0.0</v>
      </c>
      <c r="T232" s="165">
        <f t="shared" si="3"/>
        <v>129800189</v>
      </c>
      <c r="U232" s="83" t="s">
        <v>64</v>
      </c>
      <c r="V232" s="83" t="s">
        <v>64</v>
      </c>
      <c r="W232" s="175"/>
      <c r="X232" s="176">
        <v>45119.0</v>
      </c>
      <c r="Y232" s="176">
        <v>45272.0</v>
      </c>
      <c r="Z232" s="177">
        <v>0.0</v>
      </c>
      <c r="AA232" s="177">
        <v>1.5</v>
      </c>
      <c r="AB232" s="176">
        <v>45408.0</v>
      </c>
      <c r="AC232" s="38">
        <f t="shared" si="4"/>
        <v>-879</v>
      </c>
      <c r="AD232" s="27"/>
      <c r="AE232" s="27"/>
      <c r="AF232" s="27"/>
      <c r="AG232" s="27"/>
      <c r="AH232" s="95">
        <f t="shared" si="40"/>
        <v>0</v>
      </c>
      <c r="AI232" s="178">
        <v>0.0</v>
      </c>
      <c r="AJ232" s="88">
        <f t="shared" si="67"/>
        <v>0</v>
      </c>
      <c r="AK232" s="166"/>
      <c r="AL232" s="166"/>
      <c r="AM232" s="166"/>
      <c r="AN232" s="166"/>
      <c r="AO232" s="166">
        <v>0.0</v>
      </c>
      <c r="AP232" s="378">
        <v>184.8</v>
      </c>
      <c r="AQ232" s="162">
        <v>0.0</v>
      </c>
      <c r="AR232" s="82">
        <f t="shared" si="64"/>
        <v>129800189</v>
      </c>
      <c r="AS232" s="82">
        <v>4.2660535E7</v>
      </c>
      <c r="AT232" s="171">
        <f t="shared" si="63"/>
        <v>0.33</v>
      </c>
      <c r="AU232" s="171">
        <f t="shared" si="23"/>
        <v>0.3286631193</v>
      </c>
      <c r="AV232" s="97" t="s">
        <v>1078</v>
      </c>
      <c r="AW232" s="42"/>
      <c r="AX232" s="368">
        <v>46279.0</v>
      </c>
      <c r="AY232" s="42" t="s">
        <v>958</v>
      </c>
      <c r="AZ232" s="92"/>
      <c r="BA232" s="92"/>
      <c r="BB232" s="92"/>
      <c r="BC232" s="82">
        <v>4.2660535E7</v>
      </c>
      <c r="BD232" s="44" t="s">
        <v>67</v>
      </c>
      <c r="BE232" s="368"/>
      <c r="BF232" s="93"/>
      <c r="BG232" s="93"/>
      <c r="BH232" s="93"/>
    </row>
    <row r="233" ht="89.25" customHeight="1">
      <c r="A233" s="21">
        <v>232.0</v>
      </c>
      <c r="B233" s="22">
        <v>2023.0</v>
      </c>
      <c r="C233" s="23" t="s">
        <v>234</v>
      </c>
      <c r="D233" s="80" t="s">
        <v>74</v>
      </c>
      <c r="E233" s="23" t="s">
        <v>75</v>
      </c>
      <c r="F233" s="25" t="s">
        <v>1079</v>
      </c>
      <c r="G233" s="23" t="s">
        <v>531</v>
      </c>
      <c r="H233" s="23" t="str">
        <f t="shared" si="66"/>
        <v>GIRALDO</v>
      </c>
      <c r="I233" s="23" t="s">
        <v>127</v>
      </c>
      <c r="J233" s="23" t="s">
        <v>1080</v>
      </c>
      <c r="K233" s="23" t="s">
        <v>1081</v>
      </c>
      <c r="L233" s="23">
        <v>5.0</v>
      </c>
      <c r="M233" s="173">
        <v>560.0</v>
      </c>
      <c r="N233" s="162">
        <v>0.0</v>
      </c>
      <c r="O233" s="82">
        <v>1.68127289E8</v>
      </c>
      <c r="P233" s="82">
        <v>0.0</v>
      </c>
      <c r="Q233" s="163">
        <f t="shared" si="2"/>
        <v>168127289</v>
      </c>
      <c r="R233" s="135">
        <v>0.0</v>
      </c>
      <c r="S233" s="135">
        <v>0.0</v>
      </c>
      <c r="T233" s="165">
        <f t="shared" si="3"/>
        <v>168127289</v>
      </c>
      <c r="U233" s="379" t="s">
        <v>220</v>
      </c>
      <c r="V233" s="379" t="s">
        <v>220</v>
      </c>
      <c r="W233" s="175"/>
      <c r="X233" s="176">
        <v>45119.0</v>
      </c>
      <c r="Y233" s="176">
        <v>45272.0</v>
      </c>
      <c r="Z233" s="177">
        <v>1.0</v>
      </c>
      <c r="AA233" s="177">
        <v>6.0</v>
      </c>
      <c r="AB233" s="176">
        <v>45333.0</v>
      </c>
      <c r="AC233" s="38">
        <f t="shared" si="4"/>
        <v>-954</v>
      </c>
      <c r="AD233" s="27"/>
      <c r="AE233" s="27"/>
      <c r="AF233" s="27"/>
      <c r="AG233" s="27"/>
      <c r="AH233" s="95">
        <f t="shared" si="40"/>
        <v>0</v>
      </c>
      <c r="AI233" s="178">
        <v>0.0</v>
      </c>
      <c r="AJ233" s="88">
        <f t="shared" si="67"/>
        <v>0</v>
      </c>
      <c r="AK233" s="166"/>
      <c r="AL233" s="166"/>
      <c r="AM233" s="166"/>
      <c r="AN233" s="166"/>
      <c r="AO233" s="166">
        <v>0.0</v>
      </c>
      <c r="AP233" s="378">
        <v>0.0</v>
      </c>
      <c r="AQ233" s="162">
        <v>0.0</v>
      </c>
      <c r="AR233" s="82">
        <f t="shared" si="64"/>
        <v>168127289</v>
      </c>
      <c r="AS233" s="82">
        <v>1.68127289E8</v>
      </c>
      <c r="AT233" s="171">
        <f t="shared" si="63"/>
        <v>0</v>
      </c>
      <c r="AU233" s="171">
        <f t="shared" si="23"/>
        <v>1</v>
      </c>
      <c r="AV233" s="240" t="s">
        <v>1082</v>
      </c>
      <c r="AW233" s="42"/>
      <c r="AX233" s="368">
        <v>46245.0</v>
      </c>
      <c r="AY233" s="42" t="s">
        <v>958</v>
      </c>
      <c r="AZ233" s="92"/>
      <c r="BA233" s="92"/>
      <c r="BB233" s="92"/>
      <c r="BC233" s="369">
        <v>1.92927751E8</v>
      </c>
      <c r="BD233" s="44" t="s">
        <v>67</v>
      </c>
      <c r="BE233" s="368"/>
      <c r="BF233" s="93"/>
      <c r="BG233" s="93"/>
      <c r="BH233" s="93"/>
    </row>
    <row r="234" ht="89.25" customHeight="1">
      <c r="A234" s="50">
        <v>233.0</v>
      </c>
      <c r="B234" s="51">
        <v>2023.0</v>
      </c>
      <c r="C234" s="184" t="s">
        <v>205</v>
      </c>
      <c r="D234" s="185" t="s">
        <v>74</v>
      </c>
      <c r="E234" s="184" t="s">
        <v>75</v>
      </c>
      <c r="F234" s="53" t="s">
        <v>1083</v>
      </c>
      <c r="G234" s="184" t="s">
        <v>207</v>
      </c>
      <c r="H234" s="184" t="str">
        <f t="shared" si="66"/>
        <v>GRANADA</v>
      </c>
      <c r="I234" s="184" t="s">
        <v>120</v>
      </c>
      <c r="J234" s="184" t="s">
        <v>1084</v>
      </c>
      <c r="K234" s="184" t="s">
        <v>1085</v>
      </c>
      <c r="L234" s="184">
        <v>11.0</v>
      </c>
      <c r="M234" s="100">
        <v>1000.0</v>
      </c>
      <c r="N234" s="187">
        <v>0.0</v>
      </c>
      <c r="O234" s="113">
        <v>2.9969151E8</v>
      </c>
      <c r="P234" s="113">
        <v>0.0</v>
      </c>
      <c r="Q234" s="188">
        <f t="shared" si="2"/>
        <v>299691510</v>
      </c>
      <c r="R234" s="114">
        <v>0.0</v>
      </c>
      <c r="S234" s="114">
        <v>0.0</v>
      </c>
      <c r="T234" s="190">
        <f t="shared" si="3"/>
        <v>299691510</v>
      </c>
      <c r="U234" s="380" t="s">
        <v>220</v>
      </c>
      <c r="V234" s="380" t="s">
        <v>220</v>
      </c>
      <c r="W234" s="192"/>
      <c r="X234" s="193">
        <v>44998.0</v>
      </c>
      <c r="Y234" s="193">
        <v>45304.0</v>
      </c>
      <c r="Z234" s="194">
        <v>1.0</v>
      </c>
      <c r="AA234" s="194">
        <v>0.0</v>
      </c>
      <c r="AB234" s="193">
        <v>45335.0</v>
      </c>
      <c r="AC234" s="66">
        <f t="shared" si="4"/>
        <v>-952</v>
      </c>
      <c r="AD234" s="55"/>
      <c r="AE234" s="55"/>
      <c r="AF234" s="55"/>
      <c r="AG234" s="55"/>
      <c r="AH234" s="95">
        <f t="shared" si="40"/>
        <v>0</v>
      </c>
      <c r="AI234" s="178">
        <v>0.0</v>
      </c>
      <c r="AJ234" s="88">
        <f t="shared" si="67"/>
        <v>0</v>
      </c>
      <c r="AK234" s="201"/>
      <c r="AL234" s="201"/>
      <c r="AM234" s="201"/>
      <c r="AN234" s="201"/>
      <c r="AO234" s="201">
        <v>0.0</v>
      </c>
      <c r="AP234" s="378">
        <v>1000.0</v>
      </c>
      <c r="AQ234" s="187">
        <v>0.0</v>
      </c>
      <c r="AR234" s="113">
        <f t="shared" si="64"/>
        <v>299691510</v>
      </c>
      <c r="AS234" s="113">
        <v>2.99689345E8</v>
      </c>
      <c r="AT234" s="198">
        <f t="shared" si="63"/>
        <v>1</v>
      </c>
      <c r="AU234" s="198">
        <f t="shared" si="23"/>
        <v>0.9999927759</v>
      </c>
      <c r="AV234" s="184" t="s">
        <v>1086</v>
      </c>
      <c r="AW234" s="215"/>
      <c r="AX234" s="366">
        <v>46150.0</v>
      </c>
      <c r="AY234" s="215" t="s">
        <v>273</v>
      </c>
      <c r="AZ234" s="76"/>
      <c r="BA234" s="76"/>
      <c r="BB234" s="76"/>
      <c r="BC234" s="209"/>
      <c r="BD234" s="210"/>
      <c r="BE234" s="366"/>
    </row>
    <row r="235" ht="89.25" customHeight="1">
      <c r="A235" s="21">
        <v>234.0</v>
      </c>
      <c r="B235" s="22">
        <v>2023.0</v>
      </c>
      <c r="C235" s="23" t="s">
        <v>1087</v>
      </c>
      <c r="D235" s="80" t="s">
        <v>74</v>
      </c>
      <c r="E235" s="23" t="s">
        <v>75</v>
      </c>
      <c r="F235" s="25" t="s">
        <v>1088</v>
      </c>
      <c r="G235" s="23" t="s">
        <v>483</v>
      </c>
      <c r="H235" s="23" t="str">
        <f t="shared" si="66"/>
        <v>JERICO</v>
      </c>
      <c r="I235" s="23" t="s">
        <v>78</v>
      </c>
      <c r="J235" s="23" t="s">
        <v>1089</v>
      </c>
      <c r="K235" s="23" t="s">
        <v>1090</v>
      </c>
      <c r="L235" s="23">
        <v>6.0</v>
      </c>
      <c r="M235" s="173">
        <v>1000.0</v>
      </c>
      <c r="N235" s="162">
        <v>0.0</v>
      </c>
      <c r="O235" s="82">
        <v>3.22537162E8</v>
      </c>
      <c r="P235" s="82">
        <v>0.0</v>
      </c>
      <c r="Q235" s="163">
        <f t="shared" si="2"/>
        <v>322537162</v>
      </c>
      <c r="R235" s="135">
        <v>0.0</v>
      </c>
      <c r="S235" s="135">
        <v>0.0</v>
      </c>
      <c r="T235" s="165">
        <f t="shared" si="3"/>
        <v>322537162</v>
      </c>
      <c r="U235" s="83" t="s">
        <v>64</v>
      </c>
      <c r="V235" s="83" t="s">
        <v>64</v>
      </c>
      <c r="W235" s="175"/>
      <c r="X235" s="176">
        <v>45140.0</v>
      </c>
      <c r="Y235" s="176">
        <v>45324.0</v>
      </c>
      <c r="Z235" s="177">
        <v>0.0</v>
      </c>
      <c r="AA235" s="177">
        <v>0.0</v>
      </c>
      <c r="AB235" s="176">
        <v>45506.0</v>
      </c>
      <c r="AC235" s="152">
        <f t="shared" si="4"/>
        <v>-781</v>
      </c>
      <c r="AD235" s="81">
        <v>750.0</v>
      </c>
      <c r="AE235" s="81"/>
      <c r="AF235" s="81">
        <v>250.0</v>
      </c>
      <c r="AG235" s="81"/>
      <c r="AH235" s="95">
        <f t="shared" si="40"/>
        <v>1000</v>
      </c>
      <c r="AI235" s="87">
        <v>1000.0</v>
      </c>
      <c r="AJ235" s="88">
        <f t="shared" si="67"/>
        <v>0</v>
      </c>
      <c r="AK235" s="166"/>
      <c r="AL235" s="166"/>
      <c r="AM235" s="166"/>
      <c r="AN235" s="166"/>
      <c r="AO235" s="166">
        <v>0.0</v>
      </c>
      <c r="AP235" s="87">
        <v>1000.0</v>
      </c>
      <c r="AQ235" s="162">
        <v>0.0</v>
      </c>
      <c r="AR235" s="82">
        <f t="shared" si="64"/>
        <v>322537162</v>
      </c>
      <c r="AS235" s="82">
        <v>3.20636922E8</v>
      </c>
      <c r="AT235" s="171">
        <f t="shared" si="63"/>
        <v>1</v>
      </c>
      <c r="AU235" s="171">
        <f t="shared" si="23"/>
        <v>0.9941084618</v>
      </c>
      <c r="AV235" s="120" t="s">
        <v>1091</v>
      </c>
      <c r="AW235" s="42"/>
      <c r="AX235" s="368"/>
      <c r="AY235" s="42"/>
      <c r="AZ235" s="92"/>
      <c r="BA235" s="92"/>
      <c r="BB235" s="92"/>
      <c r="BC235" s="102"/>
      <c r="BD235" s="44"/>
      <c r="BE235" s="368"/>
      <c r="BF235" s="93"/>
      <c r="BG235" s="93"/>
      <c r="BH235" s="93"/>
    </row>
    <row r="236" ht="89.25" customHeight="1">
      <c r="A236" s="50">
        <v>235.0</v>
      </c>
      <c r="B236" s="51">
        <v>2023.0</v>
      </c>
      <c r="C236" s="184" t="s">
        <v>267</v>
      </c>
      <c r="D236" s="185" t="s">
        <v>74</v>
      </c>
      <c r="E236" s="184" t="s">
        <v>75</v>
      </c>
      <c r="F236" s="53" t="s">
        <v>1092</v>
      </c>
      <c r="G236" s="184" t="s">
        <v>290</v>
      </c>
      <c r="H236" s="184" t="str">
        <f t="shared" si="66"/>
        <v>LA UNIÓN</v>
      </c>
      <c r="I236" s="184" t="s">
        <v>120</v>
      </c>
      <c r="J236" s="184" t="s">
        <v>1093</v>
      </c>
      <c r="K236" s="184" t="s">
        <v>1094</v>
      </c>
      <c r="L236" s="184">
        <v>6.0</v>
      </c>
      <c r="M236" s="100">
        <v>500.0</v>
      </c>
      <c r="N236" s="187">
        <v>0.0</v>
      </c>
      <c r="O236" s="113">
        <v>1.61268967E8</v>
      </c>
      <c r="P236" s="113">
        <v>0.0</v>
      </c>
      <c r="Q236" s="188">
        <f t="shared" si="2"/>
        <v>161268967</v>
      </c>
      <c r="R236" s="114">
        <v>0.0</v>
      </c>
      <c r="S236" s="114">
        <v>0.0</v>
      </c>
      <c r="T236" s="190">
        <f t="shared" si="3"/>
        <v>161268967</v>
      </c>
      <c r="U236" s="221" t="s">
        <v>220</v>
      </c>
      <c r="V236" s="221" t="s">
        <v>220</v>
      </c>
      <c r="W236" s="192"/>
      <c r="X236" s="193">
        <v>45124.0</v>
      </c>
      <c r="Y236" s="193">
        <v>45308.0</v>
      </c>
      <c r="Z236" s="194">
        <v>0.0</v>
      </c>
      <c r="AA236" s="194">
        <v>0.0</v>
      </c>
      <c r="AB236" s="193">
        <v>45506.0</v>
      </c>
      <c r="AC236" s="66">
        <f t="shared" si="4"/>
        <v>-781</v>
      </c>
      <c r="AD236" s="55"/>
      <c r="AE236" s="55"/>
      <c r="AF236" s="55"/>
      <c r="AG236" s="55"/>
      <c r="AH236" s="95">
        <f t="shared" si="40"/>
        <v>0</v>
      </c>
      <c r="AI236" s="178">
        <v>0.0</v>
      </c>
      <c r="AJ236" s="88">
        <f t="shared" si="67"/>
        <v>0</v>
      </c>
      <c r="AK236" s="201"/>
      <c r="AL236" s="201"/>
      <c r="AM236" s="201"/>
      <c r="AN236" s="201"/>
      <c r="AO236" s="201">
        <v>0.0</v>
      </c>
      <c r="AP236" s="178">
        <v>500.0</v>
      </c>
      <c r="AQ236" s="187">
        <v>0.0</v>
      </c>
      <c r="AR236" s="113">
        <f t="shared" si="64"/>
        <v>161268967</v>
      </c>
      <c r="AS236" s="113">
        <v>1.58489681E8</v>
      </c>
      <c r="AT236" s="198">
        <f t="shared" si="63"/>
        <v>1</v>
      </c>
      <c r="AU236" s="198">
        <f t="shared" si="23"/>
        <v>0.982766145</v>
      </c>
      <c r="AV236" s="184" t="s">
        <v>1010</v>
      </c>
      <c r="AW236" s="215"/>
      <c r="AX236" s="366"/>
      <c r="AY236" s="215"/>
      <c r="AZ236" s="76"/>
      <c r="BA236" s="76"/>
      <c r="BB236" s="76"/>
      <c r="BC236" s="209"/>
      <c r="BD236" s="210"/>
      <c r="BE236" s="366"/>
    </row>
    <row r="237" ht="89.25" customHeight="1">
      <c r="A237" s="340">
        <v>236.0</v>
      </c>
      <c r="B237" s="212">
        <v>2023.0</v>
      </c>
      <c r="C237" s="341" t="s">
        <v>124</v>
      </c>
      <c r="D237" s="381" t="s">
        <v>74</v>
      </c>
      <c r="E237" s="341" t="s">
        <v>75</v>
      </c>
      <c r="F237" s="343" t="s">
        <v>1095</v>
      </c>
      <c r="G237" s="341" t="s">
        <v>1096</v>
      </c>
      <c r="H237" s="341" t="str">
        <f t="shared" si="66"/>
        <v>LIBORINA</v>
      </c>
      <c r="I237" s="341" t="s">
        <v>127</v>
      </c>
      <c r="J237" s="341" t="s">
        <v>1097</v>
      </c>
      <c r="K237" s="341" t="s">
        <v>1098</v>
      </c>
      <c r="L237" s="341">
        <v>5.0</v>
      </c>
      <c r="M237" s="237">
        <v>200.0</v>
      </c>
      <c r="N237" s="254">
        <v>0.0</v>
      </c>
      <c r="O237" s="255">
        <v>5.820525E7</v>
      </c>
      <c r="P237" s="255">
        <v>0.0</v>
      </c>
      <c r="Q237" s="345">
        <f t="shared" si="2"/>
        <v>58205250</v>
      </c>
      <c r="R237" s="382">
        <v>0.0</v>
      </c>
      <c r="S237" s="382">
        <v>0.0</v>
      </c>
      <c r="T237" s="347">
        <f t="shared" si="3"/>
        <v>58205250</v>
      </c>
      <c r="U237" s="348" t="s">
        <v>220</v>
      </c>
      <c r="V237" s="348" t="s">
        <v>220</v>
      </c>
      <c r="W237" s="383"/>
      <c r="X237" s="323">
        <v>45117.0</v>
      </c>
      <c r="Y237" s="323">
        <v>45332.0</v>
      </c>
      <c r="Z237" s="349">
        <v>0.0</v>
      </c>
      <c r="AA237" s="349">
        <v>0.0</v>
      </c>
      <c r="AB237" s="323">
        <v>45332.0</v>
      </c>
      <c r="AC237" s="350">
        <f t="shared" si="4"/>
        <v>-955</v>
      </c>
      <c r="AD237" s="196"/>
      <c r="AE237" s="196"/>
      <c r="AF237" s="196"/>
      <c r="AG237" s="196"/>
      <c r="AH237" s="95">
        <f t="shared" si="40"/>
        <v>0</v>
      </c>
      <c r="AI237" s="197">
        <v>0.0</v>
      </c>
      <c r="AJ237" s="88">
        <f t="shared" si="67"/>
        <v>0</v>
      </c>
      <c r="AK237" s="384"/>
      <c r="AL237" s="384"/>
      <c r="AM237" s="384"/>
      <c r="AN237" s="384"/>
      <c r="AO237" s="384">
        <v>0.0</v>
      </c>
      <c r="AP237" s="197">
        <v>200.0</v>
      </c>
      <c r="AQ237" s="254">
        <v>0.0</v>
      </c>
      <c r="AR237" s="255">
        <f t="shared" si="64"/>
        <v>58205250</v>
      </c>
      <c r="AS237" s="255">
        <v>5.6840847E7</v>
      </c>
      <c r="AT237" s="256">
        <f t="shared" si="63"/>
        <v>1</v>
      </c>
      <c r="AU237" s="256">
        <f t="shared" si="23"/>
        <v>0.976558764</v>
      </c>
      <c r="AV237" s="385" t="s">
        <v>1099</v>
      </c>
      <c r="AW237" s="356"/>
      <c r="AX237" s="386">
        <v>46244.0</v>
      </c>
      <c r="AY237" s="356" t="s">
        <v>273</v>
      </c>
      <c r="AZ237" s="357" t="s">
        <v>68</v>
      </c>
      <c r="BA237" s="357" t="s">
        <v>68</v>
      </c>
      <c r="BB237" s="358" t="s">
        <v>68</v>
      </c>
      <c r="BC237" s="387"/>
      <c r="BD237" s="357" t="s">
        <v>67</v>
      </c>
      <c r="BE237" s="386"/>
      <c r="BF237" s="279"/>
      <c r="BG237" s="279"/>
      <c r="BH237" s="279"/>
    </row>
    <row r="238" ht="89.25" customHeight="1">
      <c r="A238" s="21">
        <v>237.0</v>
      </c>
      <c r="B238" s="22">
        <v>2023.0</v>
      </c>
      <c r="C238" s="23" t="s">
        <v>328</v>
      </c>
      <c r="D238" s="80" t="s">
        <v>74</v>
      </c>
      <c r="E238" s="23" t="s">
        <v>75</v>
      </c>
      <c r="F238" s="25" t="s">
        <v>1100</v>
      </c>
      <c r="G238" s="23" t="s">
        <v>92</v>
      </c>
      <c r="H238" s="23" t="str">
        <f t="shared" si="66"/>
        <v>MACEO</v>
      </c>
      <c r="I238" s="23" t="s">
        <v>93</v>
      </c>
      <c r="J238" s="23" t="s">
        <v>1101</v>
      </c>
      <c r="K238" s="23" t="s">
        <v>1102</v>
      </c>
      <c r="L238" s="23">
        <v>5.0</v>
      </c>
      <c r="M238" s="173">
        <v>1500.0</v>
      </c>
      <c r="N238" s="162">
        <v>0.0</v>
      </c>
      <c r="O238" s="82">
        <v>4.7735428E8</v>
      </c>
      <c r="P238" s="82">
        <v>0.0</v>
      </c>
      <c r="Q238" s="163">
        <f t="shared" si="2"/>
        <v>477354280</v>
      </c>
      <c r="R238" s="135">
        <v>0.0</v>
      </c>
      <c r="S238" s="135">
        <v>0.0</v>
      </c>
      <c r="T238" s="165">
        <f t="shared" si="3"/>
        <v>477354280</v>
      </c>
      <c r="U238" s="83" t="s">
        <v>220</v>
      </c>
      <c r="V238" s="83" t="s">
        <v>220</v>
      </c>
      <c r="W238" s="175"/>
      <c r="X238" s="176">
        <v>45119.0</v>
      </c>
      <c r="Y238" s="176">
        <v>45303.0</v>
      </c>
      <c r="Z238" s="177">
        <v>0.0</v>
      </c>
      <c r="AA238" s="177">
        <v>0.0</v>
      </c>
      <c r="AB238" s="176">
        <v>45303.0</v>
      </c>
      <c r="AC238" s="38">
        <f t="shared" si="4"/>
        <v>-984</v>
      </c>
      <c r="AD238" s="27"/>
      <c r="AE238" s="27"/>
      <c r="AF238" s="27"/>
      <c r="AG238" s="27"/>
      <c r="AH238" s="95">
        <f t="shared" si="40"/>
        <v>0</v>
      </c>
      <c r="AI238" s="178">
        <v>0.0</v>
      </c>
      <c r="AJ238" s="88">
        <f t="shared" si="67"/>
        <v>0</v>
      </c>
      <c r="AK238" s="166"/>
      <c r="AL238" s="166"/>
      <c r="AM238" s="166"/>
      <c r="AN238" s="166"/>
      <c r="AO238" s="166">
        <v>0.0</v>
      </c>
      <c r="AP238" s="378">
        <v>495.0</v>
      </c>
      <c r="AQ238" s="162">
        <v>0.0</v>
      </c>
      <c r="AR238" s="388">
        <f t="shared" si="64"/>
        <v>477354280</v>
      </c>
      <c r="AS238" s="388">
        <v>1.5544137E8</v>
      </c>
      <c r="AT238" s="389">
        <f t="shared" si="63"/>
        <v>0.33</v>
      </c>
      <c r="AU238" s="389">
        <f t="shared" si="23"/>
        <v>0.3256310386</v>
      </c>
      <c r="AV238" s="390" t="s">
        <v>1103</v>
      </c>
      <c r="AW238" s="42"/>
      <c r="AX238" s="368">
        <v>46212.0</v>
      </c>
      <c r="AY238" s="42" t="s">
        <v>273</v>
      </c>
      <c r="AZ238" s="92"/>
      <c r="BA238" s="92"/>
      <c r="BB238" s="92"/>
      <c r="BC238" s="102"/>
      <c r="BD238" s="44" t="s">
        <v>67</v>
      </c>
      <c r="BE238" s="368"/>
      <c r="BF238" s="93"/>
      <c r="BG238" s="93"/>
      <c r="BH238" s="93"/>
    </row>
    <row r="239" ht="89.25" customHeight="1">
      <c r="A239" s="50">
        <v>238.0</v>
      </c>
      <c r="B239" s="51">
        <v>2023.0</v>
      </c>
      <c r="C239" s="184" t="s">
        <v>267</v>
      </c>
      <c r="D239" s="185" t="s">
        <v>74</v>
      </c>
      <c r="E239" s="184" t="s">
        <v>75</v>
      </c>
      <c r="F239" s="53" t="s">
        <v>1104</v>
      </c>
      <c r="G239" s="184" t="s">
        <v>295</v>
      </c>
      <c r="H239" s="184" t="str">
        <f t="shared" si="66"/>
        <v>NARIÑO</v>
      </c>
      <c r="I239" s="184" t="s">
        <v>120</v>
      </c>
      <c r="J239" s="184" t="s">
        <v>588</v>
      </c>
      <c r="K239" s="184" t="s">
        <v>1105</v>
      </c>
      <c r="L239" s="184">
        <v>5.0</v>
      </c>
      <c r="M239" s="100">
        <v>560.0</v>
      </c>
      <c r="N239" s="187">
        <v>0.0</v>
      </c>
      <c r="O239" s="113">
        <v>1.80613695E8</v>
      </c>
      <c r="P239" s="113">
        <v>0.0</v>
      </c>
      <c r="Q239" s="188">
        <f t="shared" si="2"/>
        <v>180613695</v>
      </c>
      <c r="R239" s="114">
        <v>0.0</v>
      </c>
      <c r="S239" s="114">
        <v>0.0</v>
      </c>
      <c r="T239" s="190">
        <f t="shared" si="3"/>
        <v>180613695</v>
      </c>
      <c r="U239" s="221" t="s">
        <v>220</v>
      </c>
      <c r="V239" s="221" t="s">
        <v>220</v>
      </c>
      <c r="W239" s="192"/>
      <c r="X239" s="193">
        <v>45131.0</v>
      </c>
      <c r="Y239" s="193">
        <v>45346.0</v>
      </c>
      <c r="Z239" s="194">
        <v>0.0</v>
      </c>
      <c r="AA239" s="194">
        <v>0.0</v>
      </c>
      <c r="AB239" s="193">
        <v>45346.0</v>
      </c>
      <c r="AC239" s="66">
        <f t="shared" si="4"/>
        <v>-941</v>
      </c>
      <c r="AD239" s="55">
        <v>224.0</v>
      </c>
      <c r="AE239" s="55"/>
      <c r="AF239" s="55"/>
      <c r="AG239" s="55"/>
      <c r="AH239" s="95">
        <f t="shared" si="40"/>
        <v>224</v>
      </c>
      <c r="AI239" s="178">
        <v>224.0</v>
      </c>
      <c r="AJ239" s="88">
        <f t="shared" si="67"/>
        <v>0</v>
      </c>
      <c r="AK239" s="201"/>
      <c r="AL239" s="201"/>
      <c r="AM239" s="201"/>
      <c r="AN239" s="201"/>
      <c r="AO239" s="201">
        <v>0.0</v>
      </c>
      <c r="AP239" s="87">
        <v>560.0</v>
      </c>
      <c r="AQ239" s="187">
        <v>0.0</v>
      </c>
      <c r="AR239" s="113">
        <f t="shared" si="64"/>
        <v>180613695</v>
      </c>
      <c r="AS239" s="113">
        <v>1.77645064E8</v>
      </c>
      <c r="AT239" s="198">
        <f t="shared" si="63"/>
        <v>1</v>
      </c>
      <c r="AU239" s="198">
        <f t="shared" si="23"/>
        <v>0.9835636439</v>
      </c>
      <c r="AV239" s="184" t="s">
        <v>1010</v>
      </c>
      <c r="AW239" s="215"/>
      <c r="AX239" s="366"/>
      <c r="AY239" s="215"/>
      <c r="AZ239" s="76"/>
      <c r="BA239" s="76"/>
      <c r="BB239" s="76"/>
      <c r="BC239" s="209"/>
      <c r="BD239" s="210"/>
      <c r="BE239" s="366"/>
    </row>
    <row r="240" ht="89.25" customHeight="1">
      <c r="A240" s="21">
        <v>239.0</v>
      </c>
      <c r="B240" s="22">
        <v>2023.0</v>
      </c>
      <c r="C240" s="23" t="s">
        <v>358</v>
      </c>
      <c r="D240" s="80" t="s">
        <v>74</v>
      </c>
      <c r="E240" s="23" t="s">
        <v>75</v>
      </c>
      <c r="F240" s="25" t="s">
        <v>1106</v>
      </c>
      <c r="G240" s="23" t="s">
        <v>295</v>
      </c>
      <c r="H240" s="23" t="str">
        <f t="shared" si="66"/>
        <v>NARIÑO</v>
      </c>
      <c r="I240" s="23" t="s">
        <v>120</v>
      </c>
      <c r="J240" s="23" t="s">
        <v>588</v>
      </c>
      <c r="K240" s="23" t="s">
        <v>1107</v>
      </c>
      <c r="L240" s="23">
        <v>8.0</v>
      </c>
      <c r="M240" s="173">
        <v>1300.0</v>
      </c>
      <c r="N240" s="162">
        <v>0.0</v>
      </c>
      <c r="O240" s="82">
        <v>3.78283471E8</v>
      </c>
      <c r="P240" s="82">
        <v>0.0</v>
      </c>
      <c r="Q240" s="163">
        <f t="shared" si="2"/>
        <v>378283471</v>
      </c>
      <c r="R240" s="135">
        <v>0.0</v>
      </c>
      <c r="S240" s="135">
        <v>0.0</v>
      </c>
      <c r="T240" s="165">
        <f t="shared" si="3"/>
        <v>378283471</v>
      </c>
      <c r="U240" s="83" t="s">
        <v>64</v>
      </c>
      <c r="V240" s="83" t="s">
        <v>64</v>
      </c>
      <c r="W240" s="175"/>
      <c r="X240" s="176">
        <v>45040.0</v>
      </c>
      <c r="Y240" s="176">
        <v>45284.0</v>
      </c>
      <c r="Z240" s="177">
        <v>3.0</v>
      </c>
      <c r="AA240" s="177">
        <v>0.0</v>
      </c>
      <c r="AB240" s="176">
        <v>45375.0</v>
      </c>
      <c r="AC240" s="38">
        <f t="shared" si="4"/>
        <v>-912</v>
      </c>
      <c r="AD240" s="27"/>
      <c r="AE240" s="27"/>
      <c r="AF240" s="27"/>
      <c r="AG240" s="27"/>
      <c r="AH240" s="95">
        <f t="shared" si="40"/>
        <v>0</v>
      </c>
      <c r="AI240" s="178">
        <v>0.0</v>
      </c>
      <c r="AJ240" s="88">
        <f t="shared" si="67"/>
        <v>0</v>
      </c>
      <c r="AK240" s="166"/>
      <c r="AL240" s="166"/>
      <c r="AM240" s="166"/>
      <c r="AN240" s="166"/>
      <c r="AO240" s="166">
        <v>0.0</v>
      </c>
      <c r="AP240" s="378">
        <v>429.0</v>
      </c>
      <c r="AQ240" s="162">
        <v>0.0</v>
      </c>
      <c r="AR240" s="82">
        <f t="shared" si="64"/>
        <v>378283471</v>
      </c>
      <c r="AS240" s="82">
        <v>1.27858487E8</v>
      </c>
      <c r="AT240" s="171">
        <f t="shared" si="63"/>
        <v>0.33</v>
      </c>
      <c r="AU240" s="171">
        <f t="shared" si="23"/>
        <v>0.3379964942</v>
      </c>
      <c r="AV240" s="23" t="s">
        <v>1108</v>
      </c>
      <c r="AW240" s="42"/>
      <c r="AX240" s="368"/>
      <c r="AY240" s="42"/>
      <c r="AZ240" s="92"/>
      <c r="BA240" s="92"/>
      <c r="BB240" s="92"/>
      <c r="BC240" s="102"/>
      <c r="BD240" s="44"/>
      <c r="BE240" s="368"/>
      <c r="BF240" s="93"/>
      <c r="BG240" s="93"/>
      <c r="BH240" s="93"/>
    </row>
    <row r="241" ht="89.25" customHeight="1">
      <c r="A241" s="21">
        <v>240.0</v>
      </c>
      <c r="B241" s="22">
        <v>2023.0</v>
      </c>
      <c r="C241" s="23" t="s">
        <v>124</v>
      </c>
      <c r="D241" s="80" t="s">
        <v>74</v>
      </c>
      <c r="E241" s="23" t="s">
        <v>75</v>
      </c>
      <c r="F241" s="25" t="s">
        <v>1109</v>
      </c>
      <c r="G241" s="23" t="s">
        <v>136</v>
      </c>
      <c r="H241" s="23" t="str">
        <f t="shared" si="66"/>
        <v>OLAYA</v>
      </c>
      <c r="I241" s="23" t="s">
        <v>127</v>
      </c>
      <c r="J241" s="23" t="s">
        <v>1110</v>
      </c>
      <c r="K241" s="23" t="s">
        <v>1111</v>
      </c>
      <c r="L241" s="23">
        <v>8.0</v>
      </c>
      <c r="M241" s="173">
        <v>900.0</v>
      </c>
      <c r="N241" s="162">
        <v>0.0</v>
      </c>
      <c r="O241" s="82">
        <v>2.46862289E8</v>
      </c>
      <c r="P241" s="82">
        <v>0.0</v>
      </c>
      <c r="Q241" s="163">
        <f t="shared" si="2"/>
        <v>246862289</v>
      </c>
      <c r="R241" s="135">
        <v>0.0</v>
      </c>
      <c r="S241" s="135">
        <v>0.0</v>
      </c>
      <c r="T241" s="165">
        <f t="shared" si="3"/>
        <v>246862289</v>
      </c>
      <c r="U241" s="83" t="s">
        <v>220</v>
      </c>
      <c r="V241" s="83" t="s">
        <v>220</v>
      </c>
      <c r="W241" s="175"/>
      <c r="X241" s="176">
        <v>45119.0</v>
      </c>
      <c r="Y241" s="176">
        <v>45303.0</v>
      </c>
      <c r="Z241" s="177">
        <v>0.0</v>
      </c>
      <c r="AA241" s="177">
        <v>0.0</v>
      </c>
      <c r="AB241" s="176">
        <v>45303.0</v>
      </c>
      <c r="AC241" s="38">
        <f t="shared" si="4"/>
        <v>-984</v>
      </c>
      <c r="AD241" s="27"/>
      <c r="AE241" s="27"/>
      <c r="AF241" s="27"/>
      <c r="AG241" s="27"/>
      <c r="AH241" s="95">
        <f t="shared" si="40"/>
        <v>0</v>
      </c>
      <c r="AI241" s="178">
        <v>0.0</v>
      </c>
      <c r="AJ241" s="88">
        <f t="shared" si="67"/>
        <v>0</v>
      </c>
      <c r="AK241" s="166"/>
      <c r="AL241" s="166"/>
      <c r="AM241" s="166"/>
      <c r="AN241" s="166"/>
      <c r="AO241" s="166">
        <v>0.0</v>
      </c>
      <c r="AP241" s="178">
        <v>900.0</v>
      </c>
      <c r="AQ241" s="162">
        <v>0.0</v>
      </c>
      <c r="AR241" s="82">
        <f t="shared" si="64"/>
        <v>246862289</v>
      </c>
      <c r="AS241" s="82">
        <v>2.4290979E8</v>
      </c>
      <c r="AT241" s="171">
        <f t="shared" si="63"/>
        <v>1</v>
      </c>
      <c r="AU241" s="171">
        <f t="shared" si="23"/>
        <v>0.9839890531</v>
      </c>
      <c r="AV241" s="23" t="s">
        <v>1112</v>
      </c>
      <c r="AW241" s="42"/>
      <c r="AX241" s="368">
        <v>46189.0</v>
      </c>
      <c r="AY241" s="42" t="s">
        <v>273</v>
      </c>
      <c r="AZ241" s="44" t="s">
        <v>68</v>
      </c>
      <c r="BA241" s="44" t="s">
        <v>68</v>
      </c>
      <c r="BB241" s="45" t="s">
        <v>68</v>
      </c>
      <c r="BC241" s="102"/>
      <c r="BD241" s="44" t="s">
        <v>67</v>
      </c>
      <c r="BE241" s="368"/>
      <c r="BF241" s="93"/>
      <c r="BG241" s="93"/>
      <c r="BH241" s="93"/>
    </row>
    <row r="242" ht="89.25" customHeight="1">
      <c r="A242" s="391">
        <v>241.0</v>
      </c>
      <c r="B242" s="392">
        <v>2023.0</v>
      </c>
      <c r="C242" s="393" t="s">
        <v>205</v>
      </c>
      <c r="D242" s="394" t="s">
        <v>74</v>
      </c>
      <c r="E242" s="393" t="s">
        <v>75</v>
      </c>
      <c r="F242" s="395" t="s">
        <v>1113</v>
      </c>
      <c r="G242" s="393" t="s">
        <v>226</v>
      </c>
      <c r="H242" s="393" t="str">
        <f t="shared" si="66"/>
        <v>RIONEGRO</v>
      </c>
      <c r="I242" s="393" t="s">
        <v>120</v>
      </c>
      <c r="J242" s="393" t="s">
        <v>1114</v>
      </c>
      <c r="K242" s="393" t="s">
        <v>1115</v>
      </c>
      <c r="L242" s="393">
        <v>12.0</v>
      </c>
      <c r="M242" s="396">
        <v>1700.0</v>
      </c>
      <c r="N242" s="397">
        <v>0.0</v>
      </c>
      <c r="O242" s="398">
        <v>4.85869389E8</v>
      </c>
      <c r="P242" s="398">
        <v>0.0</v>
      </c>
      <c r="Q242" s="399">
        <f t="shared" si="2"/>
        <v>485869389</v>
      </c>
      <c r="R242" s="400">
        <v>0.0</v>
      </c>
      <c r="S242" s="400">
        <v>0.0</v>
      </c>
      <c r="T242" s="401">
        <f t="shared" si="3"/>
        <v>485869389</v>
      </c>
      <c r="U242" s="402" t="s">
        <v>220</v>
      </c>
      <c r="V242" s="402" t="s">
        <v>220</v>
      </c>
      <c r="W242" s="403"/>
      <c r="X242" s="404">
        <v>45055.0</v>
      </c>
      <c r="Y242" s="404">
        <v>45331.0</v>
      </c>
      <c r="Z242" s="405">
        <v>0.0</v>
      </c>
      <c r="AA242" s="405">
        <v>0.0</v>
      </c>
      <c r="AB242" s="404">
        <v>45331.0</v>
      </c>
      <c r="AC242" s="406">
        <f t="shared" si="4"/>
        <v>-956</v>
      </c>
      <c r="AD242" s="407"/>
      <c r="AE242" s="407"/>
      <c r="AF242" s="407"/>
      <c r="AG242" s="407"/>
      <c r="AH242" s="95">
        <f t="shared" si="40"/>
        <v>0</v>
      </c>
      <c r="AI242" s="178">
        <v>0.0</v>
      </c>
      <c r="AJ242" s="88">
        <f t="shared" si="67"/>
        <v>0</v>
      </c>
      <c r="AK242" s="408"/>
      <c r="AL242" s="408"/>
      <c r="AM242" s="408"/>
      <c r="AN242" s="408"/>
      <c r="AO242" s="408">
        <v>0.0</v>
      </c>
      <c r="AP242" s="378">
        <v>1444.0</v>
      </c>
      <c r="AQ242" s="397">
        <v>0.0</v>
      </c>
      <c r="AR242" s="398">
        <f t="shared" si="64"/>
        <v>485869389</v>
      </c>
      <c r="AS242" s="398">
        <v>4.37920171E8</v>
      </c>
      <c r="AT242" s="409">
        <f t="shared" si="63"/>
        <v>0.8494117647</v>
      </c>
      <c r="AU242" s="409">
        <f t="shared" si="23"/>
        <v>0.9013125357</v>
      </c>
      <c r="AV242" s="410" t="s">
        <v>1116</v>
      </c>
      <c r="AW242" s="411"/>
      <c r="AX242" s="412"/>
      <c r="AY242" s="411"/>
      <c r="AZ242" s="413"/>
      <c r="BA242" s="413"/>
      <c r="BB242" s="413"/>
      <c r="BC242" s="414"/>
      <c r="BD242" s="415"/>
      <c r="BE242" s="412"/>
      <c r="BF242" s="416"/>
      <c r="BG242" s="416"/>
      <c r="BH242" s="416"/>
    </row>
    <row r="243" ht="89.25" customHeight="1">
      <c r="A243" s="21">
        <v>242.0</v>
      </c>
      <c r="B243" s="22">
        <v>2023.0</v>
      </c>
      <c r="C243" s="23" t="s">
        <v>234</v>
      </c>
      <c r="D243" s="80" t="s">
        <v>74</v>
      </c>
      <c r="E243" s="23" t="s">
        <v>75</v>
      </c>
      <c r="F243" s="25" t="s">
        <v>1117</v>
      </c>
      <c r="G243" s="23" t="s">
        <v>1118</v>
      </c>
      <c r="H243" s="23" t="str">
        <f t="shared" si="66"/>
        <v>SABANALARGA</v>
      </c>
      <c r="I243" s="23" t="s">
        <v>127</v>
      </c>
      <c r="J243" s="23" t="s">
        <v>1119</v>
      </c>
      <c r="K243" s="23" t="s">
        <v>1120</v>
      </c>
      <c r="L243" s="23">
        <v>5.0</v>
      </c>
      <c r="M243" s="173">
        <v>500.0</v>
      </c>
      <c r="N243" s="162">
        <v>0.0</v>
      </c>
      <c r="O243" s="82">
        <v>1.3768598E8</v>
      </c>
      <c r="P243" s="82">
        <v>0.0</v>
      </c>
      <c r="Q243" s="163">
        <f t="shared" si="2"/>
        <v>137685980</v>
      </c>
      <c r="R243" s="135">
        <v>0.0</v>
      </c>
      <c r="S243" s="135">
        <v>0.0</v>
      </c>
      <c r="T243" s="165">
        <f t="shared" si="3"/>
        <v>137685980</v>
      </c>
      <c r="U243" s="83" t="s">
        <v>220</v>
      </c>
      <c r="V243" s="83" t="s">
        <v>220</v>
      </c>
      <c r="W243" s="175"/>
      <c r="X243" s="176">
        <v>45119.0</v>
      </c>
      <c r="Y243" s="176">
        <v>45303.0</v>
      </c>
      <c r="Z243" s="177">
        <v>0.0</v>
      </c>
      <c r="AA243" s="177">
        <v>0.0</v>
      </c>
      <c r="AB243" s="176">
        <v>45303.0</v>
      </c>
      <c r="AC243" s="38">
        <f t="shared" si="4"/>
        <v>-984</v>
      </c>
      <c r="AD243" s="27"/>
      <c r="AE243" s="27"/>
      <c r="AF243" s="27"/>
      <c r="AG243" s="27"/>
      <c r="AH243" s="95">
        <f t="shared" si="40"/>
        <v>0</v>
      </c>
      <c r="AI243" s="178">
        <v>0.0</v>
      </c>
      <c r="AJ243" s="88">
        <f t="shared" si="67"/>
        <v>0</v>
      </c>
      <c r="AK243" s="166"/>
      <c r="AL243" s="166"/>
      <c r="AM243" s="166"/>
      <c r="AN243" s="166"/>
      <c r="AO243" s="166">
        <v>0.0</v>
      </c>
      <c r="AP243" s="378">
        <v>330.0</v>
      </c>
      <c r="AQ243" s="162">
        <v>0.0</v>
      </c>
      <c r="AR243" s="82">
        <f t="shared" si="64"/>
        <v>137685980</v>
      </c>
      <c r="AS243" s="82">
        <v>1.35423676E8</v>
      </c>
      <c r="AT243" s="171">
        <f t="shared" si="63"/>
        <v>0.66</v>
      </c>
      <c r="AU243" s="171">
        <f t="shared" si="23"/>
        <v>0.9835691041</v>
      </c>
      <c r="AV243" s="23" t="s">
        <v>1121</v>
      </c>
      <c r="AW243" s="42"/>
      <c r="AX243" s="368">
        <v>46184.0</v>
      </c>
      <c r="AY243" s="42" t="s">
        <v>273</v>
      </c>
      <c r="AZ243" s="44" t="s">
        <v>68</v>
      </c>
      <c r="BA243" s="44" t="s">
        <v>68</v>
      </c>
      <c r="BB243" s="45" t="s">
        <v>68</v>
      </c>
      <c r="BC243" s="102"/>
      <c r="BD243" s="44" t="s">
        <v>67</v>
      </c>
      <c r="BE243" s="368"/>
      <c r="BF243" s="93"/>
      <c r="BG243" s="93"/>
      <c r="BH243" s="93"/>
    </row>
    <row r="244" ht="89.25" customHeight="1">
      <c r="A244" s="50">
        <v>243.0</v>
      </c>
      <c r="B244" s="51">
        <v>2023.0</v>
      </c>
      <c r="C244" s="184" t="s">
        <v>389</v>
      </c>
      <c r="D244" s="185" t="s">
        <v>74</v>
      </c>
      <c r="E244" s="184" t="s">
        <v>75</v>
      </c>
      <c r="F244" s="53" t="s">
        <v>1122</v>
      </c>
      <c r="G244" s="184" t="s">
        <v>592</v>
      </c>
      <c r="H244" s="184" t="str">
        <f t="shared" si="66"/>
        <v>SAN ANDRÉS DE CUERQUIA</v>
      </c>
      <c r="I244" s="184" t="s">
        <v>174</v>
      </c>
      <c r="J244" s="184" t="s">
        <v>1123</v>
      </c>
      <c r="K244" s="184" t="s">
        <v>1124</v>
      </c>
      <c r="L244" s="184">
        <v>7.0</v>
      </c>
      <c r="M244" s="100">
        <v>1000.0</v>
      </c>
      <c r="N244" s="187">
        <v>0.0</v>
      </c>
      <c r="O244" s="113">
        <v>3.22529631E8</v>
      </c>
      <c r="P244" s="113">
        <v>0.0</v>
      </c>
      <c r="Q244" s="188">
        <f t="shared" si="2"/>
        <v>322529631</v>
      </c>
      <c r="R244" s="114">
        <v>0.0</v>
      </c>
      <c r="S244" s="114">
        <v>0.0</v>
      </c>
      <c r="T244" s="190">
        <f t="shared" si="3"/>
        <v>322529631</v>
      </c>
      <c r="U244" s="221" t="s">
        <v>220</v>
      </c>
      <c r="V244" s="221" t="s">
        <v>220</v>
      </c>
      <c r="W244" s="192"/>
      <c r="X244" s="193">
        <v>45099.0</v>
      </c>
      <c r="Y244" s="193">
        <v>45313.0</v>
      </c>
      <c r="Z244" s="194">
        <v>1.0</v>
      </c>
      <c r="AA244" s="194">
        <v>0.0</v>
      </c>
      <c r="AB244" s="193">
        <v>45344.0</v>
      </c>
      <c r="AC244" s="66">
        <f t="shared" si="4"/>
        <v>-943</v>
      </c>
      <c r="AD244" s="55">
        <v>340.0</v>
      </c>
      <c r="AE244" s="55"/>
      <c r="AF244" s="55"/>
      <c r="AG244" s="55"/>
      <c r="AH244" s="95">
        <f t="shared" si="40"/>
        <v>340</v>
      </c>
      <c r="AI244" s="178">
        <v>340.0</v>
      </c>
      <c r="AJ244" s="88">
        <f t="shared" si="67"/>
        <v>0</v>
      </c>
      <c r="AK244" s="201"/>
      <c r="AL244" s="201"/>
      <c r="AM244" s="201"/>
      <c r="AN244" s="201"/>
      <c r="AO244" s="201">
        <v>0.0</v>
      </c>
      <c r="AP244" s="87">
        <v>1000.0</v>
      </c>
      <c r="AQ244" s="187">
        <v>0.0</v>
      </c>
      <c r="AR244" s="113">
        <f t="shared" si="64"/>
        <v>322529631</v>
      </c>
      <c r="AS244" s="113">
        <v>3.22411993E8</v>
      </c>
      <c r="AT244" s="198">
        <f t="shared" si="63"/>
        <v>1</v>
      </c>
      <c r="AU244" s="198">
        <f t="shared" si="23"/>
        <v>0.9996352645</v>
      </c>
      <c r="AV244" s="184" t="s">
        <v>220</v>
      </c>
      <c r="AW244" s="215"/>
      <c r="AX244" s="366"/>
      <c r="AY244" s="215"/>
      <c r="AZ244" s="76"/>
      <c r="BA244" s="76"/>
      <c r="BB244" s="76"/>
      <c r="BC244" s="209"/>
      <c r="BD244" s="210"/>
      <c r="BE244" s="366"/>
    </row>
    <row r="245" ht="89.25" customHeight="1">
      <c r="A245" s="21">
        <v>244.0</v>
      </c>
      <c r="B245" s="22">
        <v>2023.0</v>
      </c>
      <c r="C245" s="23" t="s">
        <v>234</v>
      </c>
      <c r="D245" s="80" t="s">
        <v>74</v>
      </c>
      <c r="E245" s="23" t="s">
        <v>951</v>
      </c>
      <c r="F245" s="25">
        <v>4.600016169E9</v>
      </c>
      <c r="G245" s="23" t="s">
        <v>431</v>
      </c>
      <c r="H245" s="23" t="str">
        <f t="shared" si="66"/>
        <v>BURITICÁ</v>
      </c>
      <c r="I245" s="23" t="s">
        <v>127</v>
      </c>
      <c r="J245" s="23" t="s">
        <v>1125</v>
      </c>
      <c r="K245" s="23" t="s">
        <v>1126</v>
      </c>
      <c r="L245" s="23">
        <v>7.0</v>
      </c>
      <c r="M245" s="173">
        <v>2400.0</v>
      </c>
      <c r="N245" s="162">
        <v>0.0</v>
      </c>
      <c r="O245" s="82">
        <v>2.4E9</v>
      </c>
      <c r="P245" s="82">
        <v>1.2E9</v>
      </c>
      <c r="Q245" s="163">
        <f t="shared" si="2"/>
        <v>3600000000</v>
      </c>
      <c r="R245" s="135">
        <v>0.0</v>
      </c>
      <c r="S245" s="135">
        <v>0.0</v>
      </c>
      <c r="T245" s="165">
        <f t="shared" si="3"/>
        <v>3600000000</v>
      </c>
      <c r="U245" s="83" t="s">
        <v>64</v>
      </c>
      <c r="V245" s="83" t="s">
        <v>64</v>
      </c>
      <c r="W245" s="175"/>
      <c r="X245" s="176">
        <v>45140.0</v>
      </c>
      <c r="Y245" s="176">
        <v>45353.0</v>
      </c>
      <c r="Z245" s="177">
        <v>0.0</v>
      </c>
      <c r="AA245" s="177">
        <v>0.0</v>
      </c>
      <c r="AB245" s="176">
        <v>45353.0</v>
      </c>
      <c r="AC245" s="38">
        <f t="shared" si="4"/>
        <v>-934</v>
      </c>
      <c r="AD245" s="27"/>
      <c r="AE245" s="27">
        <v>1560.0</v>
      </c>
      <c r="AF245" s="27">
        <v>480.0</v>
      </c>
      <c r="AG245" s="27"/>
      <c r="AH245" s="95">
        <f t="shared" si="40"/>
        <v>2040</v>
      </c>
      <c r="AI245" s="178">
        <v>2040.0</v>
      </c>
      <c r="AJ245" s="88">
        <f t="shared" si="67"/>
        <v>0</v>
      </c>
      <c r="AK245" s="166"/>
      <c r="AL245" s="166"/>
      <c r="AM245" s="166"/>
      <c r="AN245" s="166"/>
      <c r="AO245" s="166">
        <v>0.0</v>
      </c>
      <c r="AP245" s="87">
        <v>2400.0</v>
      </c>
      <c r="AQ245" s="162">
        <v>0.0</v>
      </c>
      <c r="AR245" s="82">
        <f t="shared" si="64"/>
        <v>2400000000</v>
      </c>
      <c r="AS245" s="82">
        <v>2.4E9</v>
      </c>
      <c r="AT245" s="171">
        <f t="shared" si="63"/>
        <v>1</v>
      </c>
      <c r="AU245" s="171">
        <f t="shared" si="23"/>
        <v>1</v>
      </c>
      <c r="AV245" s="264" t="s">
        <v>1127</v>
      </c>
      <c r="AW245" s="42"/>
      <c r="AX245" s="368"/>
      <c r="AY245" s="42"/>
      <c r="AZ245" s="92"/>
      <c r="BA245" s="92"/>
      <c r="BB245" s="92"/>
      <c r="BC245" s="102"/>
      <c r="BD245" s="44"/>
      <c r="BE245" s="368"/>
      <c r="BF245" s="93"/>
      <c r="BG245" s="93"/>
      <c r="BH245" s="93"/>
    </row>
    <row r="246" ht="89.25" customHeight="1">
      <c r="A246" s="50">
        <v>245.0</v>
      </c>
      <c r="B246" s="51">
        <v>2023.0</v>
      </c>
      <c r="C246" s="184" t="s">
        <v>428</v>
      </c>
      <c r="D246" s="185" t="s">
        <v>74</v>
      </c>
      <c r="E246" s="184" t="s">
        <v>951</v>
      </c>
      <c r="F246" s="53">
        <v>4.600016221E9</v>
      </c>
      <c r="G246" s="184" t="s">
        <v>173</v>
      </c>
      <c r="H246" s="184" t="str">
        <f t="shared" si="66"/>
        <v>CAMPAMENTO</v>
      </c>
      <c r="I246" s="184" t="s">
        <v>174</v>
      </c>
      <c r="J246" s="184" t="s">
        <v>1125</v>
      </c>
      <c r="K246" s="184" t="s">
        <v>1128</v>
      </c>
      <c r="L246" s="184">
        <v>7.0</v>
      </c>
      <c r="M246" s="100">
        <v>1000.0</v>
      </c>
      <c r="N246" s="187">
        <v>0.0</v>
      </c>
      <c r="O246" s="113">
        <v>1.407385169E9</v>
      </c>
      <c r="P246" s="113">
        <v>1.5637613E8</v>
      </c>
      <c r="Q246" s="188">
        <f t="shared" si="2"/>
        <v>1563761299</v>
      </c>
      <c r="R246" s="114">
        <v>0.0</v>
      </c>
      <c r="S246" s="114">
        <v>0.0</v>
      </c>
      <c r="T246" s="190">
        <f t="shared" si="3"/>
        <v>1563761299</v>
      </c>
      <c r="U246" s="221" t="s">
        <v>220</v>
      </c>
      <c r="V246" s="221" t="s">
        <v>220</v>
      </c>
      <c r="W246" s="192"/>
      <c r="X246" s="193">
        <v>45138.0</v>
      </c>
      <c r="Y246" s="193">
        <v>45322.0</v>
      </c>
      <c r="Z246" s="194">
        <v>0.0</v>
      </c>
      <c r="AA246" s="194">
        <v>0.0</v>
      </c>
      <c r="AB246" s="193">
        <v>45322.0</v>
      </c>
      <c r="AC246" s="66">
        <f t="shared" si="4"/>
        <v>-965</v>
      </c>
      <c r="AD246" s="55">
        <v>270.0</v>
      </c>
      <c r="AE246" s="55"/>
      <c r="AF246" s="55"/>
      <c r="AG246" s="55"/>
      <c r="AH246" s="95">
        <f t="shared" si="40"/>
        <v>270</v>
      </c>
      <c r="AI246" s="178">
        <v>270.0</v>
      </c>
      <c r="AJ246" s="88">
        <f t="shared" si="67"/>
        <v>0</v>
      </c>
      <c r="AK246" s="201"/>
      <c r="AL246" s="201"/>
      <c r="AM246" s="201"/>
      <c r="AN246" s="201"/>
      <c r="AO246" s="201">
        <v>0.0</v>
      </c>
      <c r="AP246" s="87">
        <v>1000.0</v>
      </c>
      <c r="AQ246" s="187">
        <v>0.0</v>
      </c>
      <c r="AR246" s="113">
        <f t="shared" si="64"/>
        <v>1407385169</v>
      </c>
      <c r="AS246" s="113">
        <v>1.392669282E9</v>
      </c>
      <c r="AT246" s="198">
        <f t="shared" si="63"/>
        <v>1</v>
      </c>
      <c r="AU246" s="198">
        <f t="shared" si="23"/>
        <v>0.9895438098</v>
      </c>
      <c r="AV246" s="184" t="s">
        <v>220</v>
      </c>
      <c r="AW246" s="215"/>
      <c r="AX246" s="366"/>
      <c r="AY246" s="215"/>
      <c r="AZ246" s="76"/>
      <c r="BA246" s="76"/>
      <c r="BB246" s="76"/>
      <c r="BC246" s="209"/>
      <c r="BD246" s="210"/>
      <c r="BE246" s="366"/>
    </row>
    <row r="247" ht="89.25" customHeight="1">
      <c r="A247" s="21">
        <v>246.0</v>
      </c>
      <c r="B247" s="22">
        <v>2023.0</v>
      </c>
      <c r="C247" s="23" t="s">
        <v>389</v>
      </c>
      <c r="D247" s="80" t="s">
        <v>74</v>
      </c>
      <c r="E247" s="23" t="s">
        <v>951</v>
      </c>
      <c r="F247" s="25">
        <v>4.600016157E9</v>
      </c>
      <c r="G247" s="23" t="s">
        <v>409</v>
      </c>
      <c r="H247" s="23" t="s">
        <v>409</v>
      </c>
      <c r="I247" s="23" t="s">
        <v>174</v>
      </c>
      <c r="J247" s="23" t="s">
        <v>1129</v>
      </c>
      <c r="K247" s="23" t="s">
        <v>1130</v>
      </c>
      <c r="L247" s="23">
        <v>15.0</v>
      </c>
      <c r="M247" s="173">
        <v>3000.0</v>
      </c>
      <c r="N247" s="162">
        <v>0.0</v>
      </c>
      <c r="O247" s="82">
        <v>9.371797945E9</v>
      </c>
      <c r="P247" s="82">
        <v>5.0E7</v>
      </c>
      <c r="Q247" s="163">
        <f t="shared" si="2"/>
        <v>9421797945</v>
      </c>
      <c r="R247" s="135">
        <v>0.0</v>
      </c>
      <c r="S247" s="135">
        <v>0.0</v>
      </c>
      <c r="T247" s="165">
        <f t="shared" si="3"/>
        <v>9421797945</v>
      </c>
      <c r="U247" s="83" t="s">
        <v>220</v>
      </c>
      <c r="V247" s="83" t="s">
        <v>220</v>
      </c>
      <c r="W247" s="175"/>
      <c r="X247" s="176">
        <v>45152.0</v>
      </c>
      <c r="Y247" s="176">
        <v>45426.0</v>
      </c>
      <c r="Z247" s="177">
        <v>0.0</v>
      </c>
      <c r="AA247" s="177">
        <v>0.0</v>
      </c>
      <c r="AB247" s="176">
        <v>45426.0</v>
      </c>
      <c r="AC247" s="38">
        <f t="shared" si="4"/>
        <v>-861</v>
      </c>
      <c r="AD247" s="27">
        <v>2100.0</v>
      </c>
      <c r="AE247" s="27"/>
      <c r="AF247" s="27"/>
      <c r="AG247" s="27"/>
      <c r="AH247" s="95">
        <f t="shared" si="40"/>
        <v>2100</v>
      </c>
      <c r="AI247" s="178">
        <v>2100.0</v>
      </c>
      <c r="AJ247" s="88">
        <f t="shared" si="67"/>
        <v>0</v>
      </c>
      <c r="AK247" s="166"/>
      <c r="AL247" s="166"/>
      <c r="AM247" s="166"/>
      <c r="AN247" s="166"/>
      <c r="AO247" s="166">
        <v>0.0</v>
      </c>
      <c r="AP247" s="87">
        <v>3000.0</v>
      </c>
      <c r="AQ247" s="162">
        <v>0.0</v>
      </c>
      <c r="AR247" s="82">
        <f t="shared" si="64"/>
        <v>9371797945</v>
      </c>
      <c r="AS247" s="82">
        <f>3090776878+4948871565</f>
        <v>8039648443</v>
      </c>
      <c r="AT247" s="171">
        <f t="shared" si="63"/>
        <v>1</v>
      </c>
      <c r="AU247" s="171">
        <f t="shared" si="23"/>
        <v>0.8578555033</v>
      </c>
      <c r="AV247" s="23" t="s">
        <v>1131</v>
      </c>
      <c r="AW247" s="42"/>
      <c r="AX247" s="368">
        <v>46253.0</v>
      </c>
      <c r="AY247" s="42" t="s">
        <v>273</v>
      </c>
      <c r="AZ247" s="92"/>
      <c r="BA247" s="92"/>
      <c r="BB247" s="92"/>
      <c r="BC247" s="369">
        <v>0.0</v>
      </c>
      <c r="BD247" s="44" t="s">
        <v>67</v>
      </c>
      <c r="BE247" s="368"/>
      <c r="BF247" s="93"/>
      <c r="BG247" s="93"/>
      <c r="BH247" s="93"/>
    </row>
    <row r="248" ht="89.25" customHeight="1">
      <c r="A248" s="21">
        <v>247.0</v>
      </c>
      <c r="B248" s="22">
        <v>2023.0</v>
      </c>
      <c r="C248" s="23" t="s">
        <v>171</v>
      </c>
      <c r="D248" s="80" t="s">
        <v>74</v>
      </c>
      <c r="E248" s="23" t="s">
        <v>951</v>
      </c>
      <c r="F248" s="25">
        <v>4.600016212E9</v>
      </c>
      <c r="G248" s="23" t="s">
        <v>263</v>
      </c>
      <c r="H248" s="23" t="str">
        <f t="shared" ref="H248:H284" si="68">G248</f>
        <v>SALGAR</v>
      </c>
      <c r="I248" s="23" t="s">
        <v>78</v>
      </c>
      <c r="J248" s="23" t="s">
        <v>1132</v>
      </c>
      <c r="K248" s="23" t="s">
        <v>1133</v>
      </c>
      <c r="L248" s="23">
        <v>12.0</v>
      </c>
      <c r="M248" s="173">
        <v>1000.0</v>
      </c>
      <c r="N248" s="162">
        <v>0.0</v>
      </c>
      <c r="O248" s="82">
        <v>1.5E9</v>
      </c>
      <c r="P248" s="82">
        <v>7.47404432E8</v>
      </c>
      <c r="Q248" s="163">
        <f t="shared" si="2"/>
        <v>2247404432</v>
      </c>
      <c r="R248" s="135">
        <v>0.0</v>
      </c>
      <c r="S248" s="135">
        <v>0.0</v>
      </c>
      <c r="T248" s="165">
        <f t="shared" si="3"/>
        <v>2247404432</v>
      </c>
      <c r="U248" s="83" t="s">
        <v>64</v>
      </c>
      <c r="V248" s="83" t="s">
        <v>64</v>
      </c>
      <c r="W248" s="175"/>
      <c r="X248" s="176">
        <v>45140.0</v>
      </c>
      <c r="Y248" s="176">
        <v>45324.0</v>
      </c>
      <c r="Z248" s="177">
        <v>0.0</v>
      </c>
      <c r="AA248" s="177">
        <v>0.0</v>
      </c>
      <c r="AB248" s="176">
        <v>45506.0</v>
      </c>
      <c r="AC248" s="38">
        <f t="shared" si="4"/>
        <v>-781</v>
      </c>
      <c r="AD248" s="27">
        <v>540.0</v>
      </c>
      <c r="AE248" s="27">
        <v>110.0</v>
      </c>
      <c r="AF248" s="27"/>
      <c r="AG248" s="27"/>
      <c r="AH248" s="95">
        <f t="shared" si="40"/>
        <v>650</v>
      </c>
      <c r="AI248" s="178">
        <v>650.0</v>
      </c>
      <c r="AJ248" s="88">
        <f t="shared" si="67"/>
        <v>0</v>
      </c>
      <c r="AK248" s="166"/>
      <c r="AL248" s="166"/>
      <c r="AM248" s="166"/>
      <c r="AN248" s="166"/>
      <c r="AO248" s="166">
        <v>0.0</v>
      </c>
      <c r="AP248" s="87">
        <v>1000.0</v>
      </c>
      <c r="AQ248" s="162">
        <v>0.0</v>
      </c>
      <c r="AR248" s="82">
        <f t="shared" si="64"/>
        <v>1500000000</v>
      </c>
      <c r="AS248" s="82">
        <v>6.34768483E8</v>
      </c>
      <c r="AT248" s="171">
        <f t="shared" si="63"/>
        <v>1</v>
      </c>
      <c r="AU248" s="171">
        <f t="shared" si="23"/>
        <v>0.4231789887</v>
      </c>
      <c r="AV248" s="23" t="s">
        <v>1134</v>
      </c>
      <c r="AW248" s="42"/>
      <c r="AX248" s="368"/>
      <c r="AY248" s="42"/>
      <c r="AZ248" s="92"/>
      <c r="BA248" s="92"/>
      <c r="BB248" s="92"/>
      <c r="BC248" s="102"/>
      <c r="BD248" s="44"/>
      <c r="BE248" s="368"/>
      <c r="BF248" s="93"/>
      <c r="BG248" s="93"/>
      <c r="BH248" s="93"/>
    </row>
    <row r="249" ht="89.25" customHeight="1">
      <c r="A249" s="50">
        <v>248.0</v>
      </c>
      <c r="B249" s="51">
        <v>2023.0</v>
      </c>
      <c r="C249" s="184" t="s">
        <v>389</v>
      </c>
      <c r="D249" s="185" t="s">
        <v>74</v>
      </c>
      <c r="E249" s="184" t="s">
        <v>75</v>
      </c>
      <c r="F249" s="53" t="s">
        <v>1135</v>
      </c>
      <c r="G249" s="184" t="s">
        <v>592</v>
      </c>
      <c r="H249" s="184" t="str">
        <f t="shared" si="68"/>
        <v>SAN ANDRÉS DE CUERQUIA</v>
      </c>
      <c r="I249" s="184" t="s">
        <v>174</v>
      </c>
      <c r="J249" s="184" t="s">
        <v>1123</v>
      </c>
      <c r="K249" s="184" t="s">
        <v>1136</v>
      </c>
      <c r="L249" s="184">
        <v>10.0</v>
      </c>
      <c r="M249" s="100">
        <v>1000.0</v>
      </c>
      <c r="N249" s="187">
        <v>0.0</v>
      </c>
      <c r="O249" s="113">
        <v>2.9968456E8</v>
      </c>
      <c r="P249" s="113">
        <v>0.0</v>
      </c>
      <c r="Q249" s="188">
        <f t="shared" si="2"/>
        <v>299684560</v>
      </c>
      <c r="R249" s="114">
        <v>0.0</v>
      </c>
      <c r="S249" s="114">
        <v>0.0</v>
      </c>
      <c r="T249" s="190">
        <f t="shared" si="3"/>
        <v>299684560</v>
      </c>
      <c r="U249" s="221" t="s">
        <v>220</v>
      </c>
      <c r="V249" s="221" t="s">
        <v>220</v>
      </c>
      <c r="W249" s="192"/>
      <c r="X249" s="193">
        <v>44981.0</v>
      </c>
      <c r="Y249" s="193">
        <v>45284.0</v>
      </c>
      <c r="Z249" s="194">
        <v>2.0</v>
      </c>
      <c r="AA249" s="194">
        <v>0.0</v>
      </c>
      <c r="AB249" s="193">
        <v>45346.0</v>
      </c>
      <c r="AC249" s="66">
        <f t="shared" si="4"/>
        <v>-941</v>
      </c>
      <c r="AD249" s="55">
        <v>640.0</v>
      </c>
      <c r="AE249" s="55"/>
      <c r="AF249" s="55"/>
      <c r="AG249" s="55"/>
      <c r="AH249" s="95">
        <f t="shared" si="40"/>
        <v>640</v>
      </c>
      <c r="AI249" s="178">
        <v>640.0</v>
      </c>
      <c r="AJ249" s="88">
        <f t="shared" si="67"/>
        <v>0</v>
      </c>
      <c r="AK249" s="201"/>
      <c r="AL249" s="201"/>
      <c r="AM249" s="201"/>
      <c r="AN249" s="201"/>
      <c r="AO249" s="201">
        <v>0.0</v>
      </c>
      <c r="AP249" s="87">
        <v>1000.0</v>
      </c>
      <c r="AQ249" s="187">
        <v>0.0</v>
      </c>
      <c r="AR249" s="113">
        <f t="shared" si="64"/>
        <v>299684560</v>
      </c>
      <c r="AS249" s="113">
        <v>2.9922617E8</v>
      </c>
      <c r="AT249" s="198">
        <f t="shared" si="63"/>
        <v>1</v>
      </c>
      <c r="AU249" s="198">
        <f t="shared" si="23"/>
        <v>0.998470425</v>
      </c>
      <c r="AV249" s="184" t="s">
        <v>220</v>
      </c>
      <c r="AW249" s="215"/>
      <c r="AX249" s="366"/>
      <c r="AY249" s="215"/>
      <c r="AZ249" s="76"/>
      <c r="BA249" s="76"/>
      <c r="BB249" s="76"/>
      <c r="BC249" s="209"/>
      <c r="BD249" s="210"/>
      <c r="BE249" s="366"/>
    </row>
    <row r="250" ht="89.25" customHeight="1">
      <c r="A250" s="50">
        <v>249.0</v>
      </c>
      <c r="B250" s="51">
        <v>2023.0</v>
      </c>
      <c r="C250" s="184" t="s">
        <v>267</v>
      </c>
      <c r="D250" s="185" t="s">
        <v>74</v>
      </c>
      <c r="E250" s="184" t="s">
        <v>75</v>
      </c>
      <c r="F250" s="53" t="s">
        <v>1137</v>
      </c>
      <c r="G250" s="184" t="s">
        <v>300</v>
      </c>
      <c r="H250" s="184" t="str">
        <f t="shared" si="68"/>
        <v>SAN CARLOS</v>
      </c>
      <c r="I250" s="184" t="s">
        <v>120</v>
      </c>
      <c r="J250" s="184" t="s">
        <v>1138</v>
      </c>
      <c r="K250" s="184" t="s">
        <v>1139</v>
      </c>
      <c r="L250" s="184">
        <v>6.0</v>
      </c>
      <c r="M250" s="100">
        <v>600.0</v>
      </c>
      <c r="N250" s="187">
        <v>0.0</v>
      </c>
      <c r="O250" s="113">
        <v>1.92859117E8</v>
      </c>
      <c r="P250" s="113">
        <v>0.0</v>
      </c>
      <c r="Q250" s="188">
        <f t="shared" si="2"/>
        <v>192859117</v>
      </c>
      <c r="R250" s="114">
        <v>0.0</v>
      </c>
      <c r="S250" s="114">
        <v>0.0</v>
      </c>
      <c r="T250" s="190">
        <f t="shared" si="3"/>
        <v>192859117</v>
      </c>
      <c r="U250" s="221" t="s">
        <v>220</v>
      </c>
      <c r="V250" s="221" t="s">
        <v>220</v>
      </c>
      <c r="W250" s="192"/>
      <c r="X250" s="193">
        <v>45132.0</v>
      </c>
      <c r="Y250" s="193">
        <v>45316.0</v>
      </c>
      <c r="Z250" s="194">
        <v>0.0</v>
      </c>
      <c r="AA250" s="194">
        <v>0.0</v>
      </c>
      <c r="AB250" s="193">
        <v>45316.0</v>
      </c>
      <c r="AC250" s="66">
        <f t="shared" si="4"/>
        <v>-971</v>
      </c>
      <c r="AD250" s="55">
        <v>120.0</v>
      </c>
      <c r="AE250" s="55"/>
      <c r="AF250" s="55"/>
      <c r="AG250" s="55"/>
      <c r="AH250" s="95">
        <f t="shared" si="40"/>
        <v>120</v>
      </c>
      <c r="AI250" s="178">
        <v>120.0</v>
      </c>
      <c r="AJ250" s="88">
        <f t="shared" si="67"/>
        <v>0</v>
      </c>
      <c r="AK250" s="201"/>
      <c r="AL250" s="201"/>
      <c r="AM250" s="201"/>
      <c r="AN250" s="201"/>
      <c r="AO250" s="201">
        <v>0.0</v>
      </c>
      <c r="AP250" s="87">
        <v>600.0</v>
      </c>
      <c r="AQ250" s="187">
        <v>0.0</v>
      </c>
      <c r="AR250" s="113">
        <f t="shared" si="64"/>
        <v>192859117</v>
      </c>
      <c r="AS250" s="113">
        <v>1.9035986E8</v>
      </c>
      <c r="AT250" s="198">
        <f t="shared" si="63"/>
        <v>1</v>
      </c>
      <c r="AU250" s="198">
        <f t="shared" si="23"/>
        <v>0.9870410223</v>
      </c>
      <c r="AV250" s="184" t="s">
        <v>1010</v>
      </c>
      <c r="AW250" s="215"/>
      <c r="AX250" s="366"/>
      <c r="AY250" s="215"/>
      <c r="AZ250" s="76"/>
      <c r="BA250" s="76"/>
      <c r="BB250" s="76"/>
      <c r="BC250" s="209"/>
      <c r="BD250" s="210"/>
      <c r="BE250" s="366"/>
    </row>
    <row r="251" ht="89.25" customHeight="1">
      <c r="A251" s="417">
        <v>250.0</v>
      </c>
      <c r="B251" s="418">
        <v>2023.0</v>
      </c>
      <c r="C251" s="419" t="s">
        <v>205</v>
      </c>
      <c r="D251" s="420" t="s">
        <v>74</v>
      </c>
      <c r="E251" s="419" t="s">
        <v>75</v>
      </c>
      <c r="F251" s="421" t="s">
        <v>1140</v>
      </c>
      <c r="G251" s="419" t="s">
        <v>196</v>
      </c>
      <c r="H251" s="419" t="str">
        <f t="shared" si="68"/>
        <v>SAN FRANCISCO</v>
      </c>
      <c r="I251" s="419" t="s">
        <v>120</v>
      </c>
      <c r="J251" s="419" t="s">
        <v>1141</v>
      </c>
      <c r="K251" s="419" t="s">
        <v>1142</v>
      </c>
      <c r="L251" s="419">
        <v>6.0</v>
      </c>
      <c r="M251" s="422">
        <v>700.0</v>
      </c>
      <c r="N251" s="423">
        <v>0.0</v>
      </c>
      <c r="O251" s="424">
        <v>2.09789207E8</v>
      </c>
      <c r="P251" s="424">
        <v>0.0</v>
      </c>
      <c r="Q251" s="425">
        <f t="shared" si="2"/>
        <v>209789207</v>
      </c>
      <c r="R251" s="426">
        <v>0.0</v>
      </c>
      <c r="S251" s="426">
        <v>0.0</v>
      </c>
      <c r="T251" s="427">
        <f t="shared" si="3"/>
        <v>209789207</v>
      </c>
      <c r="U251" s="380" t="s">
        <v>220</v>
      </c>
      <c r="V251" s="380" t="s">
        <v>220</v>
      </c>
      <c r="W251" s="428"/>
      <c r="X251" s="429">
        <v>45121.0</v>
      </c>
      <c r="Y251" s="429">
        <v>45305.0</v>
      </c>
      <c r="Z251" s="430">
        <v>0.0</v>
      </c>
      <c r="AA251" s="430">
        <v>0.0</v>
      </c>
      <c r="AB251" s="429">
        <v>45305.0</v>
      </c>
      <c r="AC251" s="431">
        <f t="shared" si="4"/>
        <v>-982</v>
      </c>
      <c r="AD251" s="432"/>
      <c r="AE251" s="432">
        <v>140.0</v>
      </c>
      <c r="AF251" s="432"/>
      <c r="AG251" s="432"/>
      <c r="AH251" s="95">
        <f t="shared" si="40"/>
        <v>140</v>
      </c>
      <c r="AI251" s="178">
        <v>140.0</v>
      </c>
      <c r="AJ251" s="88">
        <f t="shared" si="67"/>
        <v>0</v>
      </c>
      <c r="AK251" s="433"/>
      <c r="AL251" s="433"/>
      <c r="AM251" s="433"/>
      <c r="AN251" s="433"/>
      <c r="AO251" s="433">
        <v>0.0</v>
      </c>
      <c r="AP251" s="87">
        <v>700.0</v>
      </c>
      <c r="AQ251" s="423">
        <v>0.0</v>
      </c>
      <c r="AR251" s="424">
        <f t="shared" si="64"/>
        <v>209789207</v>
      </c>
      <c r="AS251" s="424">
        <v>2.09751721E8</v>
      </c>
      <c r="AT251" s="434">
        <f t="shared" si="63"/>
        <v>1</v>
      </c>
      <c r="AU251" s="434">
        <f t="shared" si="23"/>
        <v>0.9998213159</v>
      </c>
      <c r="AV251" s="435" t="s">
        <v>1143</v>
      </c>
      <c r="AW251" s="436"/>
      <c r="AX251" s="437">
        <v>46209.0</v>
      </c>
      <c r="AY251" s="436" t="s">
        <v>273</v>
      </c>
      <c r="AZ251" s="271"/>
      <c r="BA251" s="271"/>
      <c r="BB251" s="271"/>
      <c r="BC251" s="438"/>
      <c r="BD251" s="439"/>
      <c r="BE251" s="437"/>
      <c r="BF251" s="440"/>
      <c r="BG251" s="440"/>
      <c r="BH251" s="440"/>
    </row>
    <row r="252" ht="89.25" customHeight="1">
      <c r="A252" s="417">
        <v>251.0</v>
      </c>
      <c r="B252" s="418">
        <v>2023.0</v>
      </c>
      <c r="C252" s="419" t="s">
        <v>205</v>
      </c>
      <c r="D252" s="420" t="s">
        <v>74</v>
      </c>
      <c r="E252" s="419" t="s">
        <v>75</v>
      </c>
      <c r="F252" s="421" t="s">
        <v>1144</v>
      </c>
      <c r="G252" s="419" t="s">
        <v>230</v>
      </c>
      <c r="H252" s="419" t="str">
        <f t="shared" si="68"/>
        <v>SAN LUIS</v>
      </c>
      <c r="I252" s="419" t="s">
        <v>120</v>
      </c>
      <c r="J252" s="419" t="s">
        <v>1145</v>
      </c>
      <c r="K252" s="419" t="s">
        <v>1146</v>
      </c>
      <c r="L252" s="419">
        <v>6.0</v>
      </c>
      <c r="M252" s="422">
        <v>1300.0</v>
      </c>
      <c r="N252" s="423">
        <v>0.0</v>
      </c>
      <c r="O252" s="424">
        <v>4.19299011E8</v>
      </c>
      <c r="P252" s="424">
        <v>0.0</v>
      </c>
      <c r="Q252" s="425">
        <f t="shared" si="2"/>
        <v>419299011</v>
      </c>
      <c r="R252" s="426">
        <v>0.0</v>
      </c>
      <c r="S252" s="426">
        <v>0.0</v>
      </c>
      <c r="T252" s="427">
        <f t="shared" si="3"/>
        <v>419299011</v>
      </c>
      <c r="U252" s="380" t="s">
        <v>64</v>
      </c>
      <c r="V252" s="380" t="s">
        <v>64</v>
      </c>
      <c r="W252" s="428"/>
      <c r="X252" s="429">
        <v>45121.0</v>
      </c>
      <c r="Y252" s="429">
        <v>45305.0</v>
      </c>
      <c r="Z252" s="430">
        <v>0.0</v>
      </c>
      <c r="AA252" s="430">
        <v>0.0</v>
      </c>
      <c r="AB252" s="429">
        <v>45305.0</v>
      </c>
      <c r="AC252" s="431">
        <f t="shared" si="4"/>
        <v>-982</v>
      </c>
      <c r="AD252" s="432">
        <v>611.0</v>
      </c>
      <c r="AE252" s="432">
        <v>260.0</v>
      </c>
      <c r="AF252" s="432"/>
      <c r="AG252" s="432"/>
      <c r="AH252" s="95">
        <f t="shared" si="40"/>
        <v>871</v>
      </c>
      <c r="AI252" s="178">
        <v>871.0</v>
      </c>
      <c r="AJ252" s="88">
        <f t="shared" si="67"/>
        <v>0</v>
      </c>
      <c r="AK252" s="433"/>
      <c r="AL252" s="433"/>
      <c r="AM252" s="433"/>
      <c r="AN252" s="433"/>
      <c r="AO252" s="433">
        <v>0.0</v>
      </c>
      <c r="AP252" s="87">
        <v>1300.0</v>
      </c>
      <c r="AQ252" s="423">
        <v>0.0</v>
      </c>
      <c r="AR252" s="424">
        <f t="shared" si="64"/>
        <v>419299011</v>
      </c>
      <c r="AS252" s="424">
        <v>4.19299011E8</v>
      </c>
      <c r="AT252" s="434">
        <f t="shared" si="63"/>
        <v>1</v>
      </c>
      <c r="AU252" s="434">
        <f t="shared" si="23"/>
        <v>1</v>
      </c>
      <c r="AV252" s="441" t="s">
        <v>1147</v>
      </c>
      <c r="AW252" s="436"/>
      <c r="AX252" s="437"/>
      <c r="AY252" s="436"/>
      <c r="AZ252" s="271"/>
      <c r="BA252" s="271"/>
      <c r="BB252" s="271"/>
      <c r="BC252" s="438"/>
      <c r="BD252" s="439"/>
      <c r="BE252" s="437"/>
      <c r="BF252" s="440"/>
      <c r="BG252" s="440"/>
      <c r="BH252" s="440"/>
    </row>
    <row r="253" ht="89.25" customHeight="1">
      <c r="A253" s="141">
        <v>252.0</v>
      </c>
      <c r="B253" s="136">
        <v>2023.0</v>
      </c>
      <c r="C253" s="240" t="s">
        <v>267</v>
      </c>
      <c r="D253" s="142" t="s">
        <v>74</v>
      </c>
      <c r="E253" s="240" t="s">
        <v>75</v>
      </c>
      <c r="F253" s="143" t="s">
        <v>1148</v>
      </c>
      <c r="G253" s="240" t="s">
        <v>305</v>
      </c>
      <c r="H253" s="240" t="str">
        <f t="shared" si="68"/>
        <v>SAN RAFAEL</v>
      </c>
      <c r="I253" s="240" t="s">
        <v>120</v>
      </c>
      <c r="J253" s="240" t="s">
        <v>1149</v>
      </c>
      <c r="K253" s="240" t="s">
        <v>1150</v>
      </c>
      <c r="L253" s="240">
        <v>12.0</v>
      </c>
      <c r="M253" s="227">
        <v>1200.0</v>
      </c>
      <c r="N253" s="259">
        <v>0.0</v>
      </c>
      <c r="O253" s="144">
        <v>3.5964245E8</v>
      </c>
      <c r="P253" s="144">
        <v>0.0</v>
      </c>
      <c r="Q253" s="287">
        <f t="shared" si="2"/>
        <v>359642450</v>
      </c>
      <c r="R253" s="371">
        <v>0.0</v>
      </c>
      <c r="S253" s="371">
        <v>0.0</v>
      </c>
      <c r="T253" s="289">
        <f t="shared" si="3"/>
        <v>359642450</v>
      </c>
      <c r="U253" s="290" t="s">
        <v>220</v>
      </c>
      <c r="V253" s="290" t="s">
        <v>220</v>
      </c>
      <c r="W253" s="291"/>
      <c r="X253" s="292">
        <v>44987.0</v>
      </c>
      <c r="Y253" s="292">
        <v>45293.0</v>
      </c>
      <c r="Z253" s="293">
        <v>0.0</v>
      </c>
      <c r="AA253" s="293">
        <v>0.0</v>
      </c>
      <c r="AB253" s="292">
        <v>45293.0</v>
      </c>
      <c r="AC253" s="152">
        <f t="shared" si="4"/>
        <v>-994</v>
      </c>
      <c r="AD253" s="81"/>
      <c r="AE253" s="81"/>
      <c r="AF253" s="81"/>
      <c r="AG253" s="81"/>
      <c r="AH253" s="95">
        <f t="shared" si="40"/>
        <v>0</v>
      </c>
      <c r="AI253" s="197">
        <v>0.0</v>
      </c>
      <c r="AJ253" s="88">
        <f t="shared" si="67"/>
        <v>0</v>
      </c>
      <c r="AK253" s="373"/>
      <c r="AL253" s="373"/>
      <c r="AM253" s="373"/>
      <c r="AN253" s="373"/>
      <c r="AO253" s="373">
        <v>0.0</v>
      </c>
      <c r="AP253" s="87">
        <v>1200.0</v>
      </c>
      <c r="AQ253" s="259">
        <v>0.0</v>
      </c>
      <c r="AR253" s="144">
        <f t="shared" si="64"/>
        <v>359642450</v>
      </c>
      <c r="AS253" s="144">
        <v>3.59255854E8</v>
      </c>
      <c r="AT253" s="238">
        <f t="shared" si="63"/>
        <v>1</v>
      </c>
      <c r="AU253" s="238">
        <f t="shared" si="23"/>
        <v>0.9989250546</v>
      </c>
      <c r="AV253" s="240" t="s">
        <v>1151</v>
      </c>
      <c r="AW253" s="296"/>
      <c r="AX253" s="374">
        <v>46076.0</v>
      </c>
      <c r="AY253" s="296" t="s">
        <v>273</v>
      </c>
      <c r="AZ253" s="297" t="s">
        <v>68</v>
      </c>
      <c r="BA253" s="297" t="s">
        <v>68</v>
      </c>
      <c r="BB253" s="298" t="s">
        <v>68</v>
      </c>
      <c r="BC253" s="442"/>
      <c r="BD253" s="297" t="s">
        <v>274</v>
      </c>
      <c r="BE253" s="374">
        <v>46234.0</v>
      </c>
      <c r="BF253" s="376"/>
      <c r="BG253" s="376"/>
      <c r="BH253" s="376"/>
    </row>
    <row r="254" ht="89.25" customHeight="1">
      <c r="A254" s="50">
        <v>253.0</v>
      </c>
      <c r="B254" s="51">
        <v>2023.0</v>
      </c>
      <c r="C254" s="184" t="s">
        <v>267</v>
      </c>
      <c r="D254" s="185" t="s">
        <v>74</v>
      </c>
      <c r="E254" s="184" t="s">
        <v>75</v>
      </c>
      <c r="F254" s="53" t="s">
        <v>1152</v>
      </c>
      <c r="G254" s="184" t="s">
        <v>305</v>
      </c>
      <c r="H254" s="184" t="str">
        <f t="shared" si="68"/>
        <v>SAN RAFAEL</v>
      </c>
      <c r="I254" s="184" t="s">
        <v>120</v>
      </c>
      <c r="J254" s="184" t="s">
        <v>1153</v>
      </c>
      <c r="K254" s="184" t="s">
        <v>1154</v>
      </c>
      <c r="L254" s="184">
        <v>7.0</v>
      </c>
      <c r="M254" s="100">
        <v>500.0</v>
      </c>
      <c r="N254" s="187">
        <v>0.0</v>
      </c>
      <c r="O254" s="113">
        <v>1.61252392E8</v>
      </c>
      <c r="P254" s="113">
        <v>0.0</v>
      </c>
      <c r="Q254" s="188">
        <f t="shared" si="2"/>
        <v>161252392</v>
      </c>
      <c r="R254" s="114">
        <v>0.0</v>
      </c>
      <c r="S254" s="114">
        <v>0.0</v>
      </c>
      <c r="T254" s="190">
        <f t="shared" si="3"/>
        <v>161252392</v>
      </c>
      <c r="U254" s="221" t="s">
        <v>220</v>
      </c>
      <c r="V254" s="221" t="s">
        <v>220</v>
      </c>
      <c r="W254" s="192"/>
      <c r="X254" s="193">
        <v>45120.0</v>
      </c>
      <c r="Y254" s="193">
        <v>45335.0</v>
      </c>
      <c r="Z254" s="194">
        <v>0.0</v>
      </c>
      <c r="AA254" s="194">
        <v>0.0</v>
      </c>
      <c r="AB254" s="193">
        <v>45335.0</v>
      </c>
      <c r="AC254" s="66">
        <f t="shared" si="4"/>
        <v>-952</v>
      </c>
      <c r="AD254" s="55">
        <v>100.0</v>
      </c>
      <c r="AE254" s="55"/>
      <c r="AF254" s="55"/>
      <c r="AG254" s="55"/>
      <c r="AH254" s="95">
        <f t="shared" si="40"/>
        <v>100</v>
      </c>
      <c r="AI254" s="178">
        <v>100.0</v>
      </c>
      <c r="AJ254" s="88">
        <f t="shared" si="67"/>
        <v>0</v>
      </c>
      <c r="AK254" s="201"/>
      <c r="AL254" s="201"/>
      <c r="AM254" s="201"/>
      <c r="AN254" s="201"/>
      <c r="AO254" s="201">
        <v>0.0</v>
      </c>
      <c r="AP254" s="87">
        <v>500.0</v>
      </c>
      <c r="AQ254" s="187">
        <v>0.0</v>
      </c>
      <c r="AR254" s="113">
        <f t="shared" si="64"/>
        <v>161252392</v>
      </c>
      <c r="AS254" s="113">
        <v>1.59856705E8</v>
      </c>
      <c r="AT254" s="198">
        <f t="shared" si="63"/>
        <v>1</v>
      </c>
      <c r="AU254" s="198">
        <f t="shared" si="23"/>
        <v>0.9913447051</v>
      </c>
      <c r="AV254" s="184" t="s">
        <v>1010</v>
      </c>
      <c r="AW254" s="215"/>
      <c r="AX254" s="366"/>
      <c r="AY254" s="215"/>
      <c r="AZ254" s="76"/>
      <c r="BA254" s="76"/>
      <c r="BB254" s="76"/>
      <c r="BC254" s="209"/>
      <c r="BD254" s="210"/>
      <c r="BE254" s="366"/>
    </row>
    <row r="255" ht="89.25" customHeight="1">
      <c r="A255" s="21">
        <v>254.0</v>
      </c>
      <c r="B255" s="22">
        <v>2023.0</v>
      </c>
      <c r="C255" s="23" t="s">
        <v>267</v>
      </c>
      <c r="D255" s="80" t="s">
        <v>74</v>
      </c>
      <c r="E255" s="23" t="s">
        <v>75</v>
      </c>
      <c r="F255" s="25" t="s">
        <v>1155</v>
      </c>
      <c r="G255" s="23" t="s">
        <v>314</v>
      </c>
      <c r="H255" s="23" t="str">
        <f t="shared" si="68"/>
        <v>SAN VICENTE DE FERRER</v>
      </c>
      <c r="I255" s="23" t="s">
        <v>120</v>
      </c>
      <c r="J255" s="23" t="s">
        <v>1156</v>
      </c>
      <c r="K255" s="23" t="s">
        <v>1157</v>
      </c>
      <c r="L255" s="23">
        <v>6.0</v>
      </c>
      <c r="M255" s="173">
        <v>560.0</v>
      </c>
      <c r="N255" s="162">
        <v>0.0</v>
      </c>
      <c r="O255" s="82">
        <v>1.80606066E8</v>
      </c>
      <c r="P255" s="82">
        <v>0.0</v>
      </c>
      <c r="Q255" s="163">
        <f t="shared" si="2"/>
        <v>180606066</v>
      </c>
      <c r="R255" s="135">
        <v>0.0</v>
      </c>
      <c r="S255" s="135">
        <v>0.0</v>
      </c>
      <c r="T255" s="165">
        <f t="shared" si="3"/>
        <v>180606066</v>
      </c>
      <c r="U255" s="83" t="s">
        <v>220</v>
      </c>
      <c r="V255" s="83" t="s">
        <v>220</v>
      </c>
      <c r="W255" s="175"/>
      <c r="X255" s="176">
        <v>45125.0</v>
      </c>
      <c r="Y255" s="176">
        <v>45309.0</v>
      </c>
      <c r="Z255" s="177">
        <v>0.0</v>
      </c>
      <c r="AA255" s="177">
        <v>0.0</v>
      </c>
      <c r="AB255" s="176">
        <v>45309.0</v>
      </c>
      <c r="AC255" s="38">
        <f t="shared" si="4"/>
        <v>-978</v>
      </c>
      <c r="AD255" s="27">
        <v>112.0</v>
      </c>
      <c r="AE255" s="27"/>
      <c r="AF255" s="27"/>
      <c r="AG255" s="27"/>
      <c r="AH255" s="95">
        <f t="shared" si="40"/>
        <v>112</v>
      </c>
      <c r="AI255" s="178">
        <v>112.0</v>
      </c>
      <c r="AJ255" s="88">
        <f t="shared" si="67"/>
        <v>0</v>
      </c>
      <c r="AK255" s="166"/>
      <c r="AL255" s="166"/>
      <c r="AM255" s="166"/>
      <c r="AN255" s="166"/>
      <c r="AO255" s="166">
        <v>0.0</v>
      </c>
      <c r="AP255" s="87">
        <v>560.0</v>
      </c>
      <c r="AQ255" s="162">
        <v>0.0</v>
      </c>
      <c r="AR255" s="82">
        <f t="shared" si="64"/>
        <v>180606066</v>
      </c>
      <c r="AS255" s="82">
        <v>1.80550731E8</v>
      </c>
      <c r="AT255" s="171">
        <f t="shared" si="63"/>
        <v>1</v>
      </c>
      <c r="AU255" s="171">
        <f t="shared" si="23"/>
        <v>0.9996936149</v>
      </c>
      <c r="AV255" s="23" t="s">
        <v>1158</v>
      </c>
      <c r="AW255" s="42"/>
      <c r="AX255" s="368">
        <v>46108.0</v>
      </c>
      <c r="AY255" s="42" t="s">
        <v>273</v>
      </c>
      <c r="AZ255" s="44" t="s">
        <v>68</v>
      </c>
      <c r="BA255" s="44" t="s">
        <v>68</v>
      </c>
      <c r="BB255" s="92"/>
      <c r="BC255" s="102"/>
      <c r="BD255" s="44" t="s">
        <v>274</v>
      </c>
      <c r="BE255" s="368">
        <v>46234.0</v>
      </c>
      <c r="BF255" s="93"/>
      <c r="BG255" s="93"/>
      <c r="BH255" s="93"/>
    </row>
    <row r="256" ht="89.25" customHeight="1">
      <c r="A256" s="50">
        <v>255.0</v>
      </c>
      <c r="B256" s="51">
        <v>2023.0</v>
      </c>
      <c r="C256" s="184" t="s">
        <v>267</v>
      </c>
      <c r="D256" s="185" t="s">
        <v>74</v>
      </c>
      <c r="E256" s="184" t="s">
        <v>75</v>
      </c>
      <c r="F256" s="53" t="s">
        <v>1159</v>
      </c>
      <c r="G256" s="184" t="s">
        <v>314</v>
      </c>
      <c r="H256" s="184" t="str">
        <f t="shared" si="68"/>
        <v>SAN VICENTE DE FERRER</v>
      </c>
      <c r="I256" s="184" t="s">
        <v>120</v>
      </c>
      <c r="J256" s="184" t="s">
        <v>1160</v>
      </c>
      <c r="K256" s="184" t="s">
        <v>1161</v>
      </c>
      <c r="L256" s="184">
        <v>10.0</v>
      </c>
      <c r="M256" s="100">
        <v>3200.0</v>
      </c>
      <c r="N256" s="187">
        <v>0.0</v>
      </c>
      <c r="O256" s="113">
        <v>9.59041326E8</v>
      </c>
      <c r="P256" s="113">
        <v>0.0</v>
      </c>
      <c r="Q256" s="188">
        <f t="shared" si="2"/>
        <v>959041326</v>
      </c>
      <c r="R256" s="114">
        <v>0.0</v>
      </c>
      <c r="S256" s="114">
        <v>0.0</v>
      </c>
      <c r="T256" s="190">
        <f t="shared" si="3"/>
        <v>959041326</v>
      </c>
      <c r="U256" s="221" t="s">
        <v>220</v>
      </c>
      <c r="V256" s="221" t="s">
        <v>220</v>
      </c>
      <c r="W256" s="192"/>
      <c r="X256" s="193">
        <v>45002.0</v>
      </c>
      <c r="Y256" s="193">
        <v>45308.0</v>
      </c>
      <c r="Z256" s="194">
        <v>0.0</v>
      </c>
      <c r="AA256" s="194">
        <v>0.0</v>
      </c>
      <c r="AB256" s="193">
        <v>45308.0</v>
      </c>
      <c r="AC256" s="66">
        <f t="shared" si="4"/>
        <v>-979</v>
      </c>
      <c r="AD256" s="55">
        <v>640.0</v>
      </c>
      <c r="AE256" s="55">
        <v>0.0</v>
      </c>
      <c r="AF256" s="55"/>
      <c r="AG256" s="55"/>
      <c r="AH256" s="95">
        <f t="shared" si="40"/>
        <v>640</v>
      </c>
      <c r="AI256" s="178">
        <v>640.0</v>
      </c>
      <c r="AJ256" s="88">
        <f t="shared" si="67"/>
        <v>0</v>
      </c>
      <c r="AK256" s="201"/>
      <c r="AL256" s="201"/>
      <c r="AM256" s="201"/>
      <c r="AN256" s="201"/>
      <c r="AO256" s="201">
        <v>0.0</v>
      </c>
      <c r="AP256" s="87">
        <v>3200.0</v>
      </c>
      <c r="AQ256" s="187">
        <v>0.0</v>
      </c>
      <c r="AR256" s="113">
        <f t="shared" si="64"/>
        <v>959041326</v>
      </c>
      <c r="AS256" s="113">
        <v>9.58982887E8</v>
      </c>
      <c r="AT256" s="198">
        <f t="shared" si="63"/>
        <v>1</v>
      </c>
      <c r="AU256" s="198">
        <f t="shared" si="23"/>
        <v>0.9999390652</v>
      </c>
      <c r="AV256" s="184" t="s">
        <v>1010</v>
      </c>
      <c r="AW256" s="215"/>
      <c r="AX256" s="366"/>
      <c r="AY256" s="215"/>
      <c r="AZ256" s="76"/>
      <c r="BA256" s="76"/>
      <c r="BB256" s="76"/>
      <c r="BC256" s="209"/>
      <c r="BD256" s="210"/>
      <c r="BE256" s="366"/>
    </row>
    <row r="257" ht="89.25" customHeight="1">
      <c r="A257" s="21">
        <v>256.0</v>
      </c>
      <c r="B257" s="22">
        <v>2023.0</v>
      </c>
      <c r="C257" s="23" t="s">
        <v>124</v>
      </c>
      <c r="D257" s="80" t="s">
        <v>74</v>
      </c>
      <c r="E257" s="23" t="s">
        <v>75</v>
      </c>
      <c r="F257" s="25" t="s">
        <v>1162</v>
      </c>
      <c r="G257" s="23" t="s">
        <v>146</v>
      </c>
      <c r="H257" s="23" t="str">
        <f t="shared" si="68"/>
        <v>SANTA FE DE ANTIOQUIA</v>
      </c>
      <c r="I257" s="23" t="s">
        <v>127</v>
      </c>
      <c r="J257" s="23" t="s">
        <v>1163</v>
      </c>
      <c r="K257" s="23" t="s">
        <v>1164</v>
      </c>
      <c r="L257" s="23">
        <v>7.0</v>
      </c>
      <c r="M257" s="173">
        <v>3000.0</v>
      </c>
      <c r="N257" s="162">
        <v>0.0</v>
      </c>
      <c r="O257" s="82">
        <v>9.6760656E8</v>
      </c>
      <c r="P257" s="82">
        <v>0.0</v>
      </c>
      <c r="Q257" s="163">
        <f t="shared" si="2"/>
        <v>967606560</v>
      </c>
      <c r="R257" s="135">
        <v>0.0</v>
      </c>
      <c r="S257" s="135">
        <v>0.0</v>
      </c>
      <c r="T257" s="165">
        <f t="shared" si="3"/>
        <v>967606560</v>
      </c>
      <c r="U257" s="83" t="s">
        <v>220</v>
      </c>
      <c r="V257" s="83" t="s">
        <v>220</v>
      </c>
      <c r="W257" s="175"/>
      <c r="X257" s="176">
        <v>45085.0</v>
      </c>
      <c r="Y257" s="176">
        <v>45299.0</v>
      </c>
      <c r="Z257" s="177">
        <v>0.0</v>
      </c>
      <c r="AA257" s="177">
        <v>0.0</v>
      </c>
      <c r="AB257" s="176">
        <v>45299.0</v>
      </c>
      <c r="AC257" s="38">
        <f t="shared" si="4"/>
        <v>-988</v>
      </c>
      <c r="AD257" s="27">
        <v>990.0</v>
      </c>
      <c r="AE257" s="27"/>
      <c r="AF257" s="27"/>
      <c r="AG257" s="27"/>
      <c r="AH257" s="95">
        <f t="shared" si="40"/>
        <v>990</v>
      </c>
      <c r="AI257" s="173">
        <v>990.0</v>
      </c>
      <c r="AJ257" s="88">
        <f t="shared" si="67"/>
        <v>0</v>
      </c>
      <c r="AK257" s="166"/>
      <c r="AL257" s="166"/>
      <c r="AM257" s="166"/>
      <c r="AN257" s="166"/>
      <c r="AO257" s="166">
        <v>0.0</v>
      </c>
      <c r="AP257" s="378">
        <v>990.0</v>
      </c>
      <c r="AQ257" s="162">
        <v>0.0</v>
      </c>
      <c r="AR257" s="82">
        <f t="shared" si="64"/>
        <v>967606560</v>
      </c>
      <c r="AS257" s="82">
        <v>9.4210514E7</v>
      </c>
      <c r="AT257" s="171">
        <f t="shared" si="63"/>
        <v>0.33</v>
      </c>
      <c r="AU257" s="171">
        <f t="shared" si="23"/>
        <v>0.09736448459</v>
      </c>
      <c r="AV257" s="120" t="s">
        <v>1165</v>
      </c>
      <c r="AW257" s="42"/>
      <c r="AX257" s="368">
        <v>46031.0</v>
      </c>
      <c r="AY257" s="42" t="s">
        <v>273</v>
      </c>
      <c r="AZ257" s="44" t="s">
        <v>68</v>
      </c>
      <c r="BA257" s="44" t="s">
        <v>68</v>
      </c>
      <c r="BB257" s="45" t="s">
        <v>68</v>
      </c>
      <c r="BC257" s="102"/>
      <c r="BD257" s="44" t="s">
        <v>67</v>
      </c>
      <c r="BE257" s="368"/>
      <c r="BF257" s="93"/>
      <c r="BG257" s="93"/>
      <c r="BH257" s="93"/>
    </row>
    <row r="258" ht="89.25" customHeight="1">
      <c r="A258" s="21">
        <v>257.0</v>
      </c>
      <c r="B258" s="22">
        <v>2023.0</v>
      </c>
      <c r="C258" s="23" t="s">
        <v>328</v>
      </c>
      <c r="D258" s="80" t="s">
        <v>74</v>
      </c>
      <c r="E258" s="23" t="s">
        <v>75</v>
      </c>
      <c r="F258" s="25" t="s">
        <v>1166</v>
      </c>
      <c r="G258" s="23" t="s">
        <v>728</v>
      </c>
      <c r="H258" s="23" t="str">
        <f t="shared" si="68"/>
        <v>SANTO DOMINGO</v>
      </c>
      <c r="I258" s="23" t="s">
        <v>104</v>
      </c>
      <c r="J258" s="23" t="s">
        <v>1167</v>
      </c>
      <c r="K258" s="23" t="s">
        <v>1168</v>
      </c>
      <c r="L258" s="23">
        <v>6.0</v>
      </c>
      <c r="M258" s="173">
        <v>2000.0</v>
      </c>
      <c r="N258" s="162">
        <v>0.0</v>
      </c>
      <c r="O258" s="82">
        <v>6.45074706E8</v>
      </c>
      <c r="P258" s="82">
        <v>0.0</v>
      </c>
      <c r="Q258" s="163">
        <f t="shared" si="2"/>
        <v>645074706</v>
      </c>
      <c r="R258" s="135">
        <v>0.0</v>
      </c>
      <c r="S258" s="135">
        <v>0.0</v>
      </c>
      <c r="T258" s="165">
        <f t="shared" si="3"/>
        <v>645074706</v>
      </c>
      <c r="U258" s="83" t="s">
        <v>64</v>
      </c>
      <c r="V258" s="83" t="s">
        <v>64</v>
      </c>
      <c r="W258" s="175"/>
      <c r="X258" s="176">
        <v>45138.0</v>
      </c>
      <c r="Y258" s="176">
        <v>45322.0</v>
      </c>
      <c r="Z258" s="177">
        <v>4.0</v>
      </c>
      <c r="AA258" s="177">
        <v>0.0</v>
      </c>
      <c r="AB258" s="176">
        <v>45443.0</v>
      </c>
      <c r="AC258" s="38">
        <f t="shared" si="4"/>
        <v>-844</v>
      </c>
      <c r="AD258" s="27">
        <v>1000.0</v>
      </c>
      <c r="AE258" s="55">
        <v>0.0</v>
      </c>
      <c r="AF258" s="27">
        <v>600.0</v>
      </c>
      <c r="AG258" s="27"/>
      <c r="AH258" s="95">
        <f t="shared" si="40"/>
        <v>1600</v>
      </c>
      <c r="AI258" s="178">
        <v>1600.0</v>
      </c>
      <c r="AJ258" s="88">
        <f t="shared" si="67"/>
        <v>0</v>
      </c>
      <c r="AK258" s="166"/>
      <c r="AL258" s="166"/>
      <c r="AM258" s="166"/>
      <c r="AN258" s="166"/>
      <c r="AO258" s="166">
        <v>0.0</v>
      </c>
      <c r="AP258" s="87">
        <v>2000.0</v>
      </c>
      <c r="AQ258" s="162">
        <v>0.0</v>
      </c>
      <c r="AR258" s="82">
        <f t="shared" si="64"/>
        <v>645074706</v>
      </c>
      <c r="AS258" s="82">
        <v>6.31445254E8</v>
      </c>
      <c r="AT258" s="171">
        <f t="shared" si="63"/>
        <v>1</v>
      </c>
      <c r="AU258" s="171">
        <f t="shared" si="23"/>
        <v>0.9788715138</v>
      </c>
      <c r="AV258" s="443" t="s">
        <v>1169</v>
      </c>
      <c r="AW258" s="42"/>
      <c r="AX258" s="368"/>
      <c r="AY258" s="42"/>
      <c r="AZ258" s="92"/>
      <c r="BA258" s="92"/>
      <c r="BB258" s="92"/>
      <c r="BC258" s="102"/>
      <c r="BD258" s="44"/>
      <c r="BE258" s="368"/>
      <c r="BF258" s="93"/>
      <c r="BG258" s="93"/>
      <c r="BH258" s="93"/>
    </row>
    <row r="259" ht="89.25" customHeight="1">
      <c r="A259" s="50">
        <v>258.0</v>
      </c>
      <c r="B259" s="51">
        <v>2023.0</v>
      </c>
      <c r="C259" s="184" t="s">
        <v>267</v>
      </c>
      <c r="D259" s="185" t="s">
        <v>74</v>
      </c>
      <c r="E259" s="184" t="s">
        <v>75</v>
      </c>
      <c r="F259" s="53" t="s">
        <v>1170</v>
      </c>
      <c r="G259" s="184" t="s">
        <v>320</v>
      </c>
      <c r="H259" s="184" t="str">
        <f t="shared" si="68"/>
        <v>SONSÓN</v>
      </c>
      <c r="I259" s="184" t="s">
        <v>120</v>
      </c>
      <c r="J259" s="184" t="s">
        <v>1171</v>
      </c>
      <c r="K259" s="184" t="s">
        <v>1172</v>
      </c>
      <c r="L259" s="184">
        <v>10.0</v>
      </c>
      <c r="M259" s="100">
        <v>1000.0</v>
      </c>
      <c r="N259" s="187">
        <v>0.0</v>
      </c>
      <c r="O259" s="113">
        <v>3.24971919E8</v>
      </c>
      <c r="P259" s="113">
        <v>0.0</v>
      </c>
      <c r="Q259" s="188">
        <f t="shared" si="2"/>
        <v>324971919</v>
      </c>
      <c r="R259" s="114">
        <v>0.0</v>
      </c>
      <c r="S259" s="114">
        <v>0.0</v>
      </c>
      <c r="T259" s="190">
        <f t="shared" si="3"/>
        <v>324971919</v>
      </c>
      <c r="U259" s="221" t="s">
        <v>220</v>
      </c>
      <c r="V259" s="221" t="s">
        <v>220</v>
      </c>
      <c r="W259" s="192"/>
      <c r="X259" s="193">
        <v>45040.0</v>
      </c>
      <c r="Y259" s="193">
        <v>45346.0</v>
      </c>
      <c r="Z259" s="194">
        <v>0.0</v>
      </c>
      <c r="AA259" s="194">
        <v>0.0</v>
      </c>
      <c r="AB259" s="193">
        <v>45346.0</v>
      </c>
      <c r="AC259" s="66">
        <f t="shared" si="4"/>
        <v>-941</v>
      </c>
      <c r="AD259" s="55"/>
      <c r="AE259" s="55"/>
      <c r="AF259" s="55"/>
      <c r="AG259" s="55"/>
      <c r="AH259" s="95">
        <f t="shared" si="40"/>
        <v>0</v>
      </c>
      <c r="AI259" s="178">
        <v>0.0</v>
      </c>
      <c r="AJ259" s="88">
        <f t="shared" si="67"/>
        <v>0</v>
      </c>
      <c r="AK259" s="201"/>
      <c r="AL259" s="201"/>
      <c r="AM259" s="201"/>
      <c r="AN259" s="201"/>
      <c r="AO259" s="201">
        <v>0.0</v>
      </c>
      <c r="AP259" s="178">
        <v>1000.0</v>
      </c>
      <c r="AQ259" s="187">
        <v>0.0</v>
      </c>
      <c r="AR259" s="113">
        <f t="shared" si="64"/>
        <v>324971919</v>
      </c>
      <c r="AS259" s="113">
        <v>3.24943927E8</v>
      </c>
      <c r="AT259" s="198">
        <f t="shared" si="63"/>
        <v>1</v>
      </c>
      <c r="AU259" s="198">
        <f t="shared" si="23"/>
        <v>0.9999138633</v>
      </c>
      <c r="AV259" s="184" t="s">
        <v>220</v>
      </c>
      <c r="AW259" s="215"/>
      <c r="AX259" s="366"/>
      <c r="AY259" s="215"/>
      <c r="AZ259" s="76"/>
      <c r="BA259" s="76"/>
      <c r="BB259" s="76"/>
      <c r="BC259" s="209"/>
      <c r="BD259" s="210"/>
      <c r="BE259" s="366"/>
    </row>
    <row r="260" ht="89.25" customHeight="1">
      <c r="A260" s="21">
        <v>259.0</v>
      </c>
      <c r="B260" s="22">
        <v>2023.0</v>
      </c>
      <c r="C260" s="23" t="s">
        <v>124</v>
      </c>
      <c r="D260" s="80" t="s">
        <v>74</v>
      </c>
      <c r="E260" s="23" t="s">
        <v>75</v>
      </c>
      <c r="F260" s="25" t="s">
        <v>1173</v>
      </c>
      <c r="G260" s="23" t="s">
        <v>474</v>
      </c>
      <c r="H260" s="23" t="str">
        <f t="shared" si="68"/>
        <v>SOPETRÁN</v>
      </c>
      <c r="I260" s="23" t="s">
        <v>127</v>
      </c>
      <c r="J260" s="23" t="s">
        <v>1174</v>
      </c>
      <c r="K260" s="23" t="s">
        <v>1172</v>
      </c>
      <c r="L260" s="23">
        <v>10.0</v>
      </c>
      <c r="M260" s="173">
        <v>3000.0</v>
      </c>
      <c r="N260" s="162">
        <v>0.0</v>
      </c>
      <c r="O260" s="82">
        <v>9.00000516E8</v>
      </c>
      <c r="P260" s="82">
        <v>0.0</v>
      </c>
      <c r="Q260" s="163">
        <f t="shared" si="2"/>
        <v>900000516</v>
      </c>
      <c r="R260" s="135">
        <v>0.0</v>
      </c>
      <c r="S260" s="135">
        <v>0.0</v>
      </c>
      <c r="T260" s="165">
        <f t="shared" si="3"/>
        <v>900000516</v>
      </c>
      <c r="U260" s="83" t="s">
        <v>220</v>
      </c>
      <c r="V260" s="83" t="s">
        <v>220</v>
      </c>
      <c r="W260" s="175"/>
      <c r="X260" s="176">
        <v>44987.0</v>
      </c>
      <c r="Y260" s="176">
        <v>45293.0</v>
      </c>
      <c r="Z260" s="177">
        <v>0.0</v>
      </c>
      <c r="AA260" s="177">
        <v>0.0</v>
      </c>
      <c r="AB260" s="176">
        <v>45293.0</v>
      </c>
      <c r="AC260" s="38">
        <f t="shared" si="4"/>
        <v>-994</v>
      </c>
      <c r="AD260" s="27"/>
      <c r="AE260" s="27"/>
      <c r="AF260" s="27"/>
      <c r="AG260" s="27"/>
      <c r="AH260" s="95">
        <f t="shared" si="40"/>
        <v>0</v>
      </c>
      <c r="AI260" s="178">
        <v>0.0</v>
      </c>
      <c r="AJ260" s="88">
        <f t="shared" si="67"/>
        <v>0</v>
      </c>
      <c r="AK260" s="166"/>
      <c r="AL260" s="166"/>
      <c r="AM260" s="166"/>
      <c r="AN260" s="166"/>
      <c r="AO260" s="166">
        <v>0.0</v>
      </c>
      <c r="AP260" s="178">
        <v>3000.0</v>
      </c>
      <c r="AQ260" s="162">
        <v>0.0</v>
      </c>
      <c r="AR260" s="82">
        <f t="shared" si="64"/>
        <v>900000516</v>
      </c>
      <c r="AS260" s="82">
        <v>8.95951663E8</v>
      </c>
      <c r="AT260" s="171">
        <f t="shared" si="63"/>
        <v>1</v>
      </c>
      <c r="AU260" s="171">
        <f t="shared" si="23"/>
        <v>0.995501277</v>
      </c>
      <c r="AV260" s="120" t="s">
        <v>1175</v>
      </c>
      <c r="AW260" s="42"/>
      <c r="AX260" s="368">
        <v>46199.0</v>
      </c>
      <c r="AY260" s="42" t="s">
        <v>273</v>
      </c>
      <c r="AZ260" s="44" t="s">
        <v>68</v>
      </c>
      <c r="BA260" s="44" t="s">
        <v>68</v>
      </c>
      <c r="BB260" s="45" t="s">
        <v>68</v>
      </c>
      <c r="BC260" s="102"/>
      <c r="BD260" s="44" t="s">
        <v>274</v>
      </c>
      <c r="BE260" s="368">
        <v>46599.0</v>
      </c>
      <c r="BF260" s="93"/>
      <c r="BG260" s="93"/>
      <c r="BH260" s="93"/>
    </row>
    <row r="261" ht="89.25" customHeight="1">
      <c r="A261" s="50">
        <v>260.0</v>
      </c>
      <c r="B261" s="51">
        <v>2023.0</v>
      </c>
      <c r="C261" s="120" t="s">
        <v>150</v>
      </c>
      <c r="D261" s="185" t="s">
        <v>74</v>
      </c>
      <c r="E261" s="184" t="s">
        <v>75</v>
      </c>
      <c r="F261" s="53" t="s">
        <v>1176</v>
      </c>
      <c r="G261" s="184" t="s">
        <v>167</v>
      </c>
      <c r="H261" s="184" t="str">
        <f t="shared" si="68"/>
        <v>TARSO</v>
      </c>
      <c r="I261" s="184" t="s">
        <v>78</v>
      </c>
      <c r="J261" s="184" t="s">
        <v>1174</v>
      </c>
      <c r="K261" s="184" t="s">
        <v>1177</v>
      </c>
      <c r="L261" s="184">
        <v>6.0</v>
      </c>
      <c r="M261" s="100">
        <v>400.0</v>
      </c>
      <c r="N261" s="187">
        <v>0.0</v>
      </c>
      <c r="O261" s="113">
        <v>1.29009827E8</v>
      </c>
      <c r="P261" s="113">
        <v>0.0</v>
      </c>
      <c r="Q261" s="188">
        <f t="shared" si="2"/>
        <v>129009827</v>
      </c>
      <c r="R261" s="114">
        <v>0.0</v>
      </c>
      <c r="S261" s="114">
        <v>0.0</v>
      </c>
      <c r="T261" s="190">
        <f t="shared" si="3"/>
        <v>129009827</v>
      </c>
      <c r="U261" s="221" t="s">
        <v>220</v>
      </c>
      <c r="V261" s="221" t="s">
        <v>220</v>
      </c>
      <c r="W261" s="192"/>
      <c r="X261" s="193">
        <v>45106.0</v>
      </c>
      <c r="Y261" s="193">
        <v>45289.0</v>
      </c>
      <c r="Z261" s="194">
        <v>4.0</v>
      </c>
      <c r="AA261" s="194">
        <v>0.0</v>
      </c>
      <c r="AB261" s="193">
        <v>45411.0</v>
      </c>
      <c r="AC261" s="66">
        <f t="shared" si="4"/>
        <v>-876</v>
      </c>
      <c r="AD261" s="55">
        <v>400.0</v>
      </c>
      <c r="AE261" s="55">
        <v>0.0</v>
      </c>
      <c r="AF261" s="55"/>
      <c r="AG261" s="55"/>
      <c r="AH261" s="95">
        <f t="shared" si="40"/>
        <v>400</v>
      </c>
      <c r="AI261" s="178">
        <v>400.0</v>
      </c>
      <c r="AJ261" s="88">
        <f t="shared" si="67"/>
        <v>0</v>
      </c>
      <c r="AK261" s="201"/>
      <c r="AL261" s="201"/>
      <c r="AM261" s="201"/>
      <c r="AN261" s="201"/>
      <c r="AO261" s="201">
        <v>0.0</v>
      </c>
      <c r="AP261" s="87">
        <v>400.0</v>
      </c>
      <c r="AQ261" s="187">
        <v>0.0</v>
      </c>
      <c r="AR261" s="113">
        <f t="shared" si="64"/>
        <v>129009827</v>
      </c>
      <c r="AS261" s="113">
        <v>1.28410336E8</v>
      </c>
      <c r="AT261" s="198">
        <f t="shared" si="63"/>
        <v>1</v>
      </c>
      <c r="AU261" s="198">
        <f t="shared" si="23"/>
        <v>0.9953531369</v>
      </c>
      <c r="AV261" s="184" t="s">
        <v>1178</v>
      </c>
      <c r="AW261" s="215"/>
      <c r="AX261" s="366"/>
      <c r="AY261" s="215"/>
      <c r="AZ261" s="76"/>
      <c r="BA261" s="76"/>
      <c r="BB261" s="76"/>
      <c r="BC261" s="209"/>
      <c r="BD261" s="210"/>
      <c r="BE261" s="366"/>
    </row>
    <row r="262" ht="89.25" customHeight="1">
      <c r="A262" s="21">
        <v>261.0</v>
      </c>
      <c r="B262" s="22">
        <v>2023.0</v>
      </c>
      <c r="C262" s="23" t="s">
        <v>234</v>
      </c>
      <c r="D262" s="80" t="s">
        <v>74</v>
      </c>
      <c r="E262" s="23" t="s">
        <v>75</v>
      </c>
      <c r="F262" s="25" t="s">
        <v>1179</v>
      </c>
      <c r="G262" s="23" t="s">
        <v>1180</v>
      </c>
      <c r="H262" s="23" t="str">
        <f t="shared" si="68"/>
        <v>URAMITA</v>
      </c>
      <c r="I262" s="23" t="s">
        <v>127</v>
      </c>
      <c r="J262" s="23" t="s">
        <v>1181</v>
      </c>
      <c r="K262" s="23" t="s">
        <v>1182</v>
      </c>
      <c r="L262" s="23">
        <v>6.0</v>
      </c>
      <c r="M262" s="173">
        <v>560.0</v>
      </c>
      <c r="N262" s="162">
        <v>0.0</v>
      </c>
      <c r="O262" s="82">
        <v>1.61005724E8</v>
      </c>
      <c r="P262" s="82">
        <v>0.0</v>
      </c>
      <c r="Q262" s="163">
        <f t="shared" si="2"/>
        <v>161005724</v>
      </c>
      <c r="R262" s="135">
        <v>0.0</v>
      </c>
      <c r="S262" s="135">
        <v>0.0</v>
      </c>
      <c r="T262" s="165">
        <f t="shared" si="3"/>
        <v>161005724</v>
      </c>
      <c r="U262" s="83" t="s">
        <v>220</v>
      </c>
      <c r="V262" s="83" t="s">
        <v>220</v>
      </c>
      <c r="W262" s="175"/>
      <c r="X262" s="176">
        <v>45126.0</v>
      </c>
      <c r="Y262" s="176">
        <v>45310.0</v>
      </c>
      <c r="Z262" s="177">
        <v>0.0</v>
      </c>
      <c r="AA262" s="177">
        <v>0.0</v>
      </c>
      <c r="AB262" s="176">
        <v>45310.0</v>
      </c>
      <c r="AC262" s="38">
        <f t="shared" si="4"/>
        <v>-977</v>
      </c>
      <c r="AD262" s="27"/>
      <c r="AE262" s="27"/>
      <c r="AF262" s="27"/>
      <c r="AG262" s="27"/>
      <c r="AH262" s="95">
        <f t="shared" si="40"/>
        <v>0</v>
      </c>
      <c r="AI262" s="178">
        <v>0.0</v>
      </c>
      <c r="AJ262" s="88">
        <f t="shared" si="67"/>
        <v>0</v>
      </c>
      <c r="AK262" s="166"/>
      <c r="AL262" s="166"/>
      <c r="AM262" s="166"/>
      <c r="AN262" s="166"/>
      <c r="AO262" s="166">
        <v>0.0</v>
      </c>
      <c r="AP262" s="378">
        <v>184.8</v>
      </c>
      <c r="AQ262" s="162">
        <v>0.0</v>
      </c>
      <c r="AR262" s="82">
        <f t="shared" si="64"/>
        <v>161005724</v>
      </c>
      <c r="AS262" s="82">
        <v>5.3990495E7</v>
      </c>
      <c r="AT262" s="278">
        <f t="shared" si="63"/>
        <v>0.33</v>
      </c>
      <c r="AU262" s="278">
        <f t="shared" si="23"/>
        <v>0.3353327674</v>
      </c>
      <c r="AV262" s="444" t="s">
        <v>1183</v>
      </c>
      <c r="AW262" s="42"/>
      <c r="AX262" s="368">
        <v>46191.0</v>
      </c>
      <c r="AY262" s="42" t="s">
        <v>958</v>
      </c>
      <c r="AZ262" s="92"/>
      <c r="BA262" s="92"/>
      <c r="BB262" s="45" t="s">
        <v>1184</v>
      </c>
      <c r="BC262" s="369">
        <v>5.39904995E8</v>
      </c>
      <c r="BD262" s="44" t="s">
        <v>67</v>
      </c>
      <c r="BE262" s="368"/>
      <c r="BF262" s="93"/>
      <c r="BG262" s="93"/>
      <c r="BH262" s="93"/>
    </row>
    <row r="263" ht="89.25" customHeight="1">
      <c r="A263" s="21">
        <v>262.0</v>
      </c>
      <c r="B263" s="22">
        <v>2023.0</v>
      </c>
      <c r="C263" s="23" t="s">
        <v>171</v>
      </c>
      <c r="D263" s="80" t="s">
        <v>74</v>
      </c>
      <c r="E263" s="23" t="s">
        <v>75</v>
      </c>
      <c r="F263" s="25" t="s">
        <v>1185</v>
      </c>
      <c r="G263" s="23" t="s">
        <v>949</v>
      </c>
      <c r="H263" s="23" t="str">
        <f t="shared" si="68"/>
        <v>URRAO</v>
      </c>
      <c r="I263" s="23" t="s">
        <v>78</v>
      </c>
      <c r="J263" s="23" t="s">
        <v>1186</v>
      </c>
      <c r="K263" s="23" t="s">
        <v>1187</v>
      </c>
      <c r="L263" s="23">
        <v>6.0</v>
      </c>
      <c r="M263" s="173">
        <v>2555.0</v>
      </c>
      <c r="N263" s="162">
        <v>0.0</v>
      </c>
      <c r="O263" s="82">
        <v>8.22469223E8</v>
      </c>
      <c r="P263" s="82">
        <v>0.0</v>
      </c>
      <c r="Q263" s="163">
        <f t="shared" si="2"/>
        <v>822469223</v>
      </c>
      <c r="R263" s="135">
        <v>0.0</v>
      </c>
      <c r="S263" s="135">
        <v>0.0</v>
      </c>
      <c r="T263" s="165">
        <f t="shared" si="3"/>
        <v>822469223</v>
      </c>
      <c r="U263" s="83" t="s">
        <v>220</v>
      </c>
      <c r="V263" s="83" t="s">
        <v>220</v>
      </c>
      <c r="W263" s="175"/>
      <c r="X263" s="176">
        <v>45104.0</v>
      </c>
      <c r="Y263" s="176">
        <v>45287.0</v>
      </c>
      <c r="Z263" s="177">
        <v>0.0</v>
      </c>
      <c r="AA263" s="177">
        <v>2.0</v>
      </c>
      <c r="AB263" s="176">
        <v>45350.0</v>
      </c>
      <c r="AC263" s="38">
        <f t="shared" si="4"/>
        <v>-937</v>
      </c>
      <c r="AD263" s="153"/>
      <c r="AE263" s="153">
        <v>0.0</v>
      </c>
      <c r="AF263" s="153">
        <v>119.0</v>
      </c>
      <c r="AG263" s="153"/>
      <c r="AH263" s="95">
        <f t="shared" si="40"/>
        <v>119</v>
      </c>
      <c r="AI263" s="197">
        <v>119.0</v>
      </c>
      <c r="AJ263" s="88">
        <f t="shared" si="67"/>
        <v>0</v>
      </c>
      <c r="AK263" s="166"/>
      <c r="AL263" s="166"/>
      <c r="AM263" s="166"/>
      <c r="AN263" s="166"/>
      <c r="AO263" s="166">
        <v>0.0</v>
      </c>
      <c r="AP263" s="378">
        <v>400.0</v>
      </c>
      <c r="AQ263" s="162">
        <v>0.0</v>
      </c>
      <c r="AR263" s="82">
        <f t="shared" si="64"/>
        <v>822469223</v>
      </c>
      <c r="AS263" s="82">
        <v>6.31823524E8</v>
      </c>
      <c r="AT263" s="171">
        <f t="shared" si="63"/>
        <v>0.156555773</v>
      </c>
      <c r="AU263" s="171">
        <f t="shared" si="23"/>
        <v>0.7682032425</v>
      </c>
      <c r="AV263" s="23" t="s">
        <v>1188</v>
      </c>
      <c r="AW263" s="42"/>
      <c r="AX263" s="368">
        <v>46255.0</v>
      </c>
      <c r="AY263" s="42" t="s">
        <v>958</v>
      </c>
      <c r="AZ263" s="92"/>
      <c r="BA263" s="92"/>
      <c r="BB263" s="92"/>
      <c r="BC263" s="369" t="s">
        <v>1189</v>
      </c>
      <c r="BD263" s="44" t="s">
        <v>67</v>
      </c>
      <c r="BE263" s="368"/>
      <c r="BF263" s="93"/>
      <c r="BG263" s="93"/>
      <c r="BH263" s="93"/>
    </row>
    <row r="264" ht="89.25" customHeight="1">
      <c r="A264" s="50">
        <v>263.0</v>
      </c>
      <c r="B264" s="51">
        <v>2023.0</v>
      </c>
      <c r="C264" s="184" t="s">
        <v>428</v>
      </c>
      <c r="D264" s="185" t="s">
        <v>74</v>
      </c>
      <c r="E264" s="184" t="s">
        <v>75</v>
      </c>
      <c r="F264" s="53" t="s">
        <v>1190</v>
      </c>
      <c r="G264" s="184" t="s">
        <v>1191</v>
      </c>
      <c r="H264" s="184" t="str">
        <f t="shared" si="68"/>
        <v>VALDIVIA</v>
      </c>
      <c r="I264" s="184" t="s">
        <v>174</v>
      </c>
      <c r="J264" s="184" t="s">
        <v>1192</v>
      </c>
      <c r="K264" s="184" t="s">
        <v>1193</v>
      </c>
      <c r="L264" s="184">
        <v>7.0</v>
      </c>
      <c r="M264" s="100">
        <v>560.0</v>
      </c>
      <c r="N264" s="187">
        <v>0.0</v>
      </c>
      <c r="O264" s="113">
        <v>1.80618597E8</v>
      </c>
      <c r="P264" s="113">
        <v>0.0</v>
      </c>
      <c r="Q264" s="188">
        <f t="shared" si="2"/>
        <v>180618597</v>
      </c>
      <c r="R264" s="114">
        <v>0.0</v>
      </c>
      <c r="S264" s="114">
        <v>0.0</v>
      </c>
      <c r="T264" s="190">
        <f t="shared" si="3"/>
        <v>180618597</v>
      </c>
      <c r="U264" s="221" t="s">
        <v>220</v>
      </c>
      <c r="V264" s="221" t="s">
        <v>220</v>
      </c>
      <c r="W264" s="192"/>
      <c r="X264" s="193">
        <v>45099.0</v>
      </c>
      <c r="Y264" s="193">
        <v>45313.0</v>
      </c>
      <c r="Z264" s="194">
        <v>0.0</v>
      </c>
      <c r="AA264" s="194">
        <v>0.0</v>
      </c>
      <c r="AB264" s="193">
        <v>45313.0</v>
      </c>
      <c r="AC264" s="66">
        <f t="shared" si="4"/>
        <v>-974</v>
      </c>
      <c r="AD264" s="55"/>
      <c r="AE264" s="55"/>
      <c r="AF264" s="55"/>
      <c r="AG264" s="55"/>
      <c r="AH264" s="95">
        <f t="shared" si="40"/>
        <v>0</v>
      </c>
      <c r="AI264" s="178">
        <v>0.0</v>
      </c>
      <c r="AJ264" s="88">
        <f t="shared" si="67"/>
        <v>0</v>
      </c>
      <c r="AK264" s="201"/>
      <c r="AL264" s="201"/>
      <c r="AM264" s="201"/>
      <c r="AN264" s="201"/>
      <c r="AO264" s="201">
        <v>0.0</v>
      </c>
      <c r="AP264" s="178">
        <v>560.0</v>
      </c>
      <c r="AQ264" s="187">
        <v>0.0</v>
      </c>
      <c r="AR264" s="113">
        <f t="shared" si="64"/>
        <v>180618597</v>
      </c>
      <c r="AS264" s="113">
        <v>1.78854444E8</v>
      </c>
      <c r="AT264" s="198">
        <f t="shared" si="63"/>
        <v>1</v>
      </c>
      <c r="AU264" s="198">
        <f t="shared" si="23"/>
        <v>0.9902327167</v>
      </c>
      <c r="AV264" s="184" t="s">
        <v>1194</v>
      </c>
      <c r="AW264" s="215"/>
      <c r="AX264" s="366">
        <v>46218.0</v>
      </c>
      <c r="AY264" s="215"/>
      <c r="AZ264" s="76"/>
      <c r="BA264" s="76"/>
      <c r="BB264" s="76"/>
      <c r="BC264" s="209"/>
      <c r="BD264" s="210"/>
      <c r="BE264" s="366"/>
    </row>
    <row r="265" ht="89.25" customHeight="1">
      <c r="A265" s="50">
        <v>264.0</v>
      </c>
      <c r="B265" s="51">
        <v>2023.0</v>
      </c>
      <c r="C265" s="184" t="s">
        <v>428</v>
      </c>
      <c r="D265" s="185" t="s">
        <v>74</v>
      </c>
      <c r="E265" s="184" t="s">
        <v>75</v>
      </c>
      <c r="F265" s="53" t="s">
        <v>1195</v>
      </c>
      <c r="G265" s="184" t="s">
        <v>492</v>
      </c>
      <c r="H265" s="184" t="str">
        <f t="shared" si="68"/>
        <v>YARUMAL</v>
      </c>
      <c r="I265" s="184" t="s">
        <v>174</v>
      </c>
      <c r="J265" s="184" t="s">
        <v>1196</v>
      </c>
      <c r="K265" s="184" t="s">
        <v>1197</v>
      </c>
      <c r="L265" s="184">
        <v>10.0</v>
      </c>
      <c r="M265" s="100">
        <v>1400.0</v>
      </c>
      <c r="N265" s="187">
        <v>0.0</v>
      </c>
      <c r="O265" s="113">
        <v>3.97952053E8</v>
      </c>
      <c r="P265" s="113">
        <v>0.0</v>
      </c>
      <c r="Q265" s="188">
        <f t="shared" si="2"/>
        <v>397952053</v>
      </c>
      <c r="R265" s="114">
        <v>0.0</v>
      </c>
      <c r="S265" s="114">
        <v>0.0</v>
      </c>
      <c r="T265" s="190">
        <f t="shared" si="3"/>
        <v>397952053</v>
      </c>
      <c r="U265" s="221" t="s">
        <v>220</v>
      </c>
      <c r="V265" s="221" t="s">
        <v>220</v>
      </c>
      <c r="W265" s="192"/>
      <c r="X265" s="193">
        <v>44987.0</v>
      </c>
      <c r="Y265" s="193">
        <v>45293.0</v>
      </c>
      <c r="Z265" s="194">
        <v>4.0</v>
      </c>
      <c r="AA265" s="194">
        <v>0.0</v>
      </c>
      <c r="AB265" s="193">
        <v>45475.0</v>
      </c>
      <c r="AC265" s="66">
        <f t="shared" si="4"/>
        <v>-812</v>
      </c>
      <c r="AD265" s="55">
        <v>947.0</v>
      </c>
      <c r="AE265" s="55">
        <v>0.0</v>
      </c>
      <c r="AF265" s="55"/>
      <c r="AG265" s="55"/>
      <c r="AH265" s="95">
        <f t="shared" si="40"/>
        <v>947</v>
      </c>
      <c r="AI265" s="178">
        <v>947.0</v>
      </c>
      <c r="AJ265" s="88">
        <f t="shared" si="67"/>
        <v>0</v>
      </c>
      <c r="AK265" s="201"/>
      <c r="AL265" s="201"/>
      <c r="AM265" s="201"/>
      <c r="AN265" s="201"/>
      <c r="AO265" s="201">
        <v>0.0</v>
      </c>
      <c r="AP265" s="87">
        <v>1400.0</v>
      </c>
      <c r="AQ265" s="187">
        <v>0.0</v>
      </c>
      <c r="AR265" s="113">
        <f t="shared" si="64"/>
        <v>397952053</v>
      </c>
      <c r="AS265" s="113">
        <v>3.97940533E8</v>
      </c>
      <c r="AT265" s="198">
        <f t="shared" si="63"/>
        <v>1</v>
      </c>
      <c r="AU265" s="198">
        <f t="shared" si="23"/>
        <v>0.9999710518</v>
      </c>
      <c r="AV265" s="184" t="s">
        <v>1198</v>
      </c>
      <c r="AW265" s="215"/>
      <c r="AX265" s="366">
        <v>46218.0</v>
      </c>
      <c r="AY265" s="215"/>
      <c r="AZ265" s="76"/>
      <c r="BA265" s="76"/>
      <c r="BB265" s="76"/>
      <c r="BC265" s="209"/>
      <c r="BD265" s="210"/>
      <c r="BE265" s="366"/>
    </row>
    <row r="266" ht="89.25" customHeight="1">
      <c r="A266" s="21">
        <v>265.0</v>
      </c>
      <c r="B266" s="22">
        <v>2023.0</v>
      </c>
      <c r="C266" s="23" t="s">
        <v>328</v>
      </c>
      <c r="D266" s="80" t="s">
        <v>74</v>
      </c>
      <c r="E266" s="23" t="s">
        <v>75</v>
      </c>
      <c r="F266" s="25" t="s">
        <v>1199</v>
      </c>
      <c r="G266" s="23" t="s">
        <v>114</v>
      </c>
      <c r="H266" s="23" t="str">
        <f t="shared" si="68"/>
        <v>YOLOMBÓ</v>
      </c>
      <c r="I266" s="23" t="s">
        <v>104</v>
      </c>
      <c r="J266" s="23" t="s">
        <v>1200</v>
      </c>
      <c r="K266" s="23" t="s">
        <v>1201</v>
      </c>
      <c r="L266" s="23">
        <v>5.0</v>
      </c>
      <c r="M266" s="173">
        <v>1000.0</v>
      </c>
      <c r="N266" s="162">
        <v>0.0</v>
      </c>
      <c r="O266" s="82">
        <v>3.22527036E8</v>
      </c>
      <c r="P266" s="82">
        <v>0.0</v>
      </c>
      <c r="Q266" s="163">
        <f t="shared" si="2"/>
        <v>322527036</v>
      </c>
      <c r="R266" s="135">
        <v>0.0</v>
      </c>
      <c r="S266" s="135">
        <v>0.0</v>
      </c>
      <c r="T266" s="165">
        <f t="shared" si="3"/>
        <v>322527036</v>
      </c>
      <c r="U266" s="83" t="s">
        <v>220</v>
      </c>
      <c r="V266" s="83" t="s">
        <v>220</v>
      </c>
      <c r="W266" s="175"/>
      <c r="X266" s="176">
        <v>45120.0</v>
      </c>
      <c r="Y266" s="176">
        <v>45273.0</v>
      </c>
      <c r="Z266" s="177">
        <v>3.0</v>
      </c>
      <c r="AA266" s="177">
        <v>0.0</v>
      </c>
      <c r="AB266" s="176">
        <v>45364.0</v>
      </c>
      <c r="AC266" s="38">
        <f t="shared" si="4"/>
        <v>-923</v>
      </c>
      <c r="AD266" s="27">
        <v>250.0</v>
      </c>
      <c r="AE266" s="27">
        <v>300.0</v>
      </c>
      <c r="AF266" s="27"/>
      <c r="AG266" s="27"/>
      <c r="AH266" s="95">
        <f t="shared" si="40"/>
        <v>550</v>
      </c>
      <c r="AI266" s="178">
        <v>550.0</v>
      </c>
      <c r="AJ266" s="88">
        <f t="shared" si="67"/>
        <v>0</v>
      </c>
      <c r="AK266" s="166"/>
      <c r="AL266" s="166"/>
      <c r="AM266" s="166"/>
      <c r="AN266" s="166"/>
      <c r="AO266" s="166">
        <v>0.0</v>
      </c>
      <c r="AP266" s="87">
        <v>1000.0</v>
      </c>
      <c r="AQ266" s="162">
        <v>0.0</v>
      </c>
      <c r="AR266" s="82">
        <f t="shared" si="64"/>
        <v>322527036</v>
      </c>
      <c r="AS266" s="82">
        <v>3.22508454E8</v>
      </c>
      <c r="AT266" s="171">
        <f t="shared" si="63"/>
        <v>1</v>
      </c>
      <c r="AU266" s="171">
        <f t="shared" si="23"/>
        <v>0.9999423862</v>
      </c>
      <c r="AV266" s="240" t="s">
        <v>1202</v>
      </c>
      <c r="AW266" s="42"/>
      <c r="AX266" s="368">
        <v>46267.0</v>
      </c>
      <c r="AY266" s="42" t="s">
        <v>958</v>
      </c>
      <c r="AZ266" s="92"/>
      <c r="BA266" s="92"/>
      <c r="BB266" s="92"/>
      <c r="BC266" s="82">
        <v>3.22508454E8</v>
      </c>
      <c r="BD266" s="44" t="s">
        <v>403</v>
      </c>
      <c r="BE266" s="368"/>
      <c r="BF266" s="93"/>
      <c r="BG266" s="93"/>
      <c r="BH266" s="93"/>
    </row>
    <row r="267" ht="89.25" customHeight="1">
      <c r="A267" s="50">
        <v>266.0</v>
      </c>
      <c r="B267" s="51">
        <v>2023.0</v>
      </c>
      <c r="C267" s="184" t="s">
        <v>124</v>
      </c>
      <c r="D267" s="52" t="s">
        <v>118</v>
      </c>
      <c r="E267" s="184" t="s">
        <v>951</v>
      </c>
      <c r="F267" s="53">
        <v>4.600016163E9</v>
      </c>
      <c r="G267" s="184" t="s">
        <v>146</v>
      </c>
      <c r="H267" s="184" t="str">
        <f t="shared" si="68"/>
        <v>SANTA FE DE ANTIOQUIA</v>
      </c>
      <c r="I267" s="184" t="s">
        <v>127</v>
      </c>
      <c r="J267" s="184" t="s">
        <v>1203</v>
      </c>
      <c r="K267" s="184" t="s">
        <v>1204</v>
      </c>
      <c r="L267" s="184">
        <v>10.0</v>
      </c>
      <c r="M267" s="100">
        <v>669.0</v>
      </c>
      <c r="N267" s="187">
        <v>0.0</v>
      </c>
      <c r="O267" s="113">
        <v>1.408427441E9</v>
      </c>
      <c r="P267" s="113">
        <v>7.58384006E8</v>
      </c>
      <c r="Q267" s="188">
        <f t="shared" si="2"/>
        <v>2166811447</v>
      </c>
      <c r="R267" s="114">
        <v>0.0</v>
      </c>
      <c r="S267" s="114">
        <v>0.0</v>
      </c>
      <c r="T267" s="190">
        <f t="shared" si="3"/>
        <v>2166811447</v>
      </c>
      <c r="U267" s="221" t="s">
        <v>64</v>
      </c>
      <c r="V267" s="221" t="s">
        <v>64</v>
      </c>
      <c r="W267" s="192"/>
      <c r="X267" s="193">
        <v>45121.0</v>
      </c>
      <c r="Y267" s="193">
        <v>45426.0</v>
      </c>
      <c r="Z267" s="194">
        <v>6.0</v>
      </c>
      <c r="AA267" s="194">
        <v>2.0</v>
      </c>
      <c r="AB267" s="193">
        <v>45655.0</v>
      </c>
      <c r="AC267" s="66">
        <f t="shared" si="4"/>
        <v>-632</v>
      </c>
      <c r="AD267" s="55"/>
      <c r="AE267" s="55"/>
      <c r="AF267" s="55"/>
      <c r="AG267" s="55"/>
      <c r="AH267" s="86">
        <f t="shared" si="40"/>
        <v>0</v>
      </c>
      <c r="AI267" s="100">
        <v>600.0</v>
      </c>
      <c r="AJ267" s="201"/>
      <c r="AK267" s="201"/>
      <c r="AL267" s="201"/>
      <c r="AM267" s="201"/>
      <c r="AN267" s="201"/>
      <c r="AO267" s="201">
        <v>0.0</v>
      </c>
      <c r="AP267" s="378">
        <v>669.0</v>
      </c>
      <c r="AQ267" s="187">
        <v>0.0</v>
      </c>
      <c r="AR267" s="113">
        <f t="shared" si="64"/>
        <v>1408427441</v>
      </c>
      <c r="AS267" s="113">
        <v>1.408427441E9</v>
      </c>
      <c r="AT267" s="224">
        <f t="shared" si="63"/>
        <v>1</v>
      </c>
      <c r="AU267" s="224">
        <f t="shared" si="23"/>
        <v>1</v>
      </c>
      <c r="AV267" s="184" t="s">
        <v>1205</v>
      </c>
      <c r="AW267" s="215"/>
      <c r="AX267" s="366"/>
      <c r="AY267" s="215"/>
      <c r="AZ267" s="76"/>
      <c r="BA267" s="76"/>
      <c r="BB267" s="76"/>
      <c r="BC267" s="209"/>
      <c r="BD267" s="210"/>
      <c r="BE267" s="366"/>
    </row>
    <row r="268" ht="89.25" customHeight="1">
      <c r="A268" s="50">
        <v>267.0</v>
      </c>
      <c r="B268" s="51">
        <v>2023.0</v>
      </c>
      <c r="C268" s="184" t="s">
        <v>267</v>
      </c>
      <c r="D268" s="52" t="s">
        <v>118</v>
      </c>
      <c r="E268" s="184" t="s">
        <v>951</v>
      </c>
      <c r="F268" s="53">
        <v>4.600016187E9</v>
      </c>
      <c r="G268" s="184" t="s">
        <v>290</v>
      </c>
      <c r="H268" s="184" t="str">
        <f t="shared" si="68"/>
        <v>LA UNIÓN</v>
      </c>
      <c r="I268" s="184" t="s">
        <v>120</v>
      </c>
      <c r="J268" s="184" t="s">
        <v>1206</v>
      </c>
      <c r="K268" s="184"/>
      <c r="L268" s="184">
        <v>6.0</v>
      </c>
      <c r="M268" s="100">
        <v>568.0</v>
      </c>
      <c r="N268" s="187">
        <v>0.0</v>
      </c>
      <c r="O268" s="113">
        <v>1.5E9</v>
      </c>
      <c r="P268" s="113">
        <v>5.32481465E8</v>
      </c>
      <c r="Q268" s="188">
        <f t="shared" si="2"/>
        <v>2032481465</v>
      </c>
      <c r="R268" s="114">
        <v>0.0</v>
      </c>
      <c r="S268" s="114">
        <v>0.0</v>
      </c>
      <c r="T268" s="190">
        <f t="shared" si="3"/>
        <v>2032481465</v>
      </c>
      <c r="U268" s="221" t="s">
        <v>220</v>
      </c>
      <c r="V268" s="221" t="s">
        <v>220</v>
      </c>
      <c r="W268" s="192"/>
      <c r="X268" s="193">
        <v>45126.0</v>
      </c>
      <c r="Y268" s="193">
        <v>45310.0</v>
      </c>
      <c r="Z268" s="194">
        <v>0.0</v>
      </c>
      <c r="AA268" s="194">
        <v>0.0</v>
      </c>
      <c r="AB268" s="193">
        <v>45310.0</v>
      </c>
      <c r="AC268" s="66">
        <f t="shared" si="4"/>
        <v>-977</v>
      </c>
      <c r="AD268" s="55"/>
      <c r="AE268" s="55"/>
      <c r="AF268" s="55"/>
      <c r="AG268" s="55"/>
      <c r="AH268" s="86">
        <f t="shared" si="40"/>
        <v>0</v>
      </c>
      <c r="AI268" s="100">
        <v>370.0</v>
      </c>
      <c r="AJ268" s="201"/>
      <c r="AK268" s="201"/>
      <c r="AL268" s="201"/>
      <c r="AM268" s="201"/>
      <c r="AN268" s="201"/>
      <c r="AO268" s="201">
        <v>0.0</v>
      </c>
      <c r="AP268" s="378">
        <v>568.0</v>
      </c>
      <c r="AQ268" s="187">
        <v>0.0</v>
      </c>
      <c r="AR268" s="113">
        <f t="shared" si="64"/>
        <v>1500000000</v>
      </c>
      <c r="AS268" s="113">
        <v>1.485116437E9</v>
      </c>
      <c r="AT268" s="224">
        <f t="shared" si="63"/>
        <v>1</v>
      </c>
      <c r="AU268" s="224">
        <f t="shared" si="23"/>
        <v>0.9900776247</v>
      </c>
      <c r="AV268" s="184" t="s">
        <v>1207</v>
      </c>
      <c r="AW268" s="215"/>
      <c r="AX268" s="366">
        <v>46199.0</v>
      </c>
      <c r="AY268" s="215"/>
      <c r="AZ268" s="76"/>
      <c r="BA268" s="76"/>
      <c r="BB268" s="76"/>
      <c r="BC268" s="209"/>
      <c r="BD268" s="210"/>
      <c r="BE268" s="366"/>
    </row>
    <row r="269" ht="89.25" customHeight="1">
      <c r="A269" s="21">
        <v>268.0</v>
      </c>
      <c r="B269" s="22">
        <v>2023.0</v>
      </c>
      <c r="C269" s="23" t="s">
        <v>234</v>
      </c>
      <c r="D269" s="24" t="s">
        <v>118</v>
      </c>
      <c r="E269" s="23" t="s">
        <v>951</v>
      </c>
      <c r="F269" s="25">
        <v>4.600016197E9</v>
      </c>
      <c r="G269" s="23" t="s">
        <v>236</v>
      </c>
      <c r="H269" s="23" t="str">
        <f t="shared" si="68"/>
        <v>CAÑASGORDAS</v>
      </c>
      <c r="I269" s="23" t="s">
        <v>127</v>
      </c>
      <c r="J269" s="23" t="s">
        <v>1208</v>
      </c>
      <c r="K269" s="23"/>
      <c r="L269" s="23">
        <v>8.0</v>
      </c>
      <c r="M269" s="173">
        <v>750.0</v>
      </c>
      <c r="N269" s="162">
        <v>0.0</v>
      </c>
      <c r="O269" s="82">
        <v>1.47173105E9</v>
      </c>
      <c r="P269" s="82">
        <v>4.90576956E8</v>
      </c>
      <c r="Q269" s="163">
        <f t="shared" si="2"/>
        <v>1962308006</v>
      </c>
      <c r="R269" s="135">
        <v>0.0</v>
      </c>
      <c r="S269" s="135">
        <v>0.0</v>
      </c>
      <c r="T269" s="165">
        <f t="shared" si="3"/>
        <v>1962308006</v>
      </c>
      <c r="U269" s="83" t="s">
        <v>64</v>
      </c>
      <c r="V269" s="83" t="s">
        <v>64</v>
      </c>
      <c r="W269" s="175"/>
      <c r="X269" s="176">
        <v>45170.0</v>
      </c>
      <c r="Y269" s="176">
        <v>45413.0</v>
      </c>
      <c r="Z269" s="177">
        <v>0.0</v>
      </c>
      <c r="AA269" s="177">
        <v>0.0</v>
      </c>
      <c r="AB269" s="176">
        <v>45413.0</v>
      </c>
      <c r="AC269" s="38">
        <f t="shared" si="4"/>
        <v>-874</v>
      </c>
      <c r="AD269" s="27"/>
      <c r="AE269" s="27"/>
      <c r="AF269" s="27"/>
      <c r="AG269" s="27"/>
      <c r="AH269" s="86">
        <f t="shared" si="40"/>
        <v>0</v>
      </c>
      <c r="AI269" s="173">
        <v>560.0</v>
      </c>
      <c r="AJ269" s="166"/>
      <c r="AK269" s="166"/>
      <c r="AL269" s="166"/>
      <c r="AM269" s="166"/>
      <c r="AN269" s="166"/>
      <c r="AO269" s="166">
        <v>0.0</v>
      </c>
      <c r="AP269" s="378">
        <v>637.5</v>
      </c>
      <c r="AQ269" s="162">
        <v>0.0</v>
      </c>
      <c r="AR269" s="82">
        <f t="shared" si="64"/>
        <v>1471731050</v>
      </c>
      <c r="AS269" s="82">
        <v>1.47173105E9</v>
      </c>
      <c r="AT269" s="228">
        <f t="shared" si="63"/>
        <v>0.85</v>
      </c>
      <c r="AU269" s="228">
        <f t="shared" si="23"/>
        <v>1</v>
      </c>
      <c r="AV269" s="240" t="s">
        <v>1209</v>
      </c>
      <c r="AW269" s="42"/>
      <c r="AX269" s="368"/>
      <c r="AY269" s="42"/>
      <c r="AZ269" s="92"/>
      <c r="BA269" s="92"/>
      <c r="BB269" s="92"/>
      <c r="BC269" s="102"/>
      <c r="BD269" s="44"/>
      <c r="BE269" s="368"/>
      <c r="BF269" s="93"/>
      <c r="BG269" s="93"/>
      <c r="BH269" s="93"/>
    </row>
    <row r="270" ht="89.25" customHeight="1">
      <c r="A270" s="340">
        <v>269.0</v>
      </c>
      <c r="B270" s="212">
        <v>2023.0</v>
      </c>
      <c r="C270" s="341" t="s">
        <v>358</v>
      </c>
      <c r="D270" s="342" t="s">
        <v>118</v>
      </c>
      <c r="E270" s="341" t="s">
        <v>951</v>
      </c>
      <c r="F270" s="343">
        <v>4.600016202E9</v>
      </c>
      <c r="G270" s="341" t="s">
        <v>895</v>
      </c>
      <c r="H270" s="341" t="str">
        <f t="shared" si="68"/>
        <v>CHIGORODÓ</v>
      </c>
      <c r="I270" s="341" t="s">
        <v>61</v>
      </c>
      <c r="J270" s="341" t="s">
        <v>1210</v>
      </c>
      <c r="K270" s="341" t="s">
        <v>1211</v>
      </c>
      <c r="L270" s="341">
        <v>8.0</v>
      </c>
      <c r="M270" s="237">
        <v>538.0</v>
      </c>
      <c r="N270" s="254">
        <v>0.0</v>
      </c>
      <c r="O270" s="255">
        <v>1.310172026E9</v>
      </c>
      <c r="P270" s="255">
        <v>5.61502297E8</v>
      </c>
      <c r="Q270" s="345">
        <f t="shared" si="2"/>
        <v>1871674323</v>
      </c>
      <c r="R270" s="382">
        <v>0.0</v>
      </c>
      <c r="S270" s="382">
        <v>0.0</v>
      </c>
      <c r="T270" s="347">
        <f t="shared" si="3"/>
        <v>1871674323</v>
      </c>
      <c r="U270" s="348" t="s">
        <v>220</v>
      </c>
      <c r="V270" s="348" t="s">
        <v>220</v>
      </c>
      <c r="W270" s="383"/>
      <c r="X270" s="323">
        <v>45146.0</v>
      </c>
      <c r="Y270" s="323">
        <v>45330.0</v>
      </c>
      <c r="Z270" s="349">
        <v>0.0</v>
      </c>
      <c r="AA270" s="349">
        <v>0.0</v>
      </c>
      <c r="AB270" s="323">
        <v>45330.0</v>
      </c>
      <c r="AC270" s="350">
        <f t="shared" si="4"/>
        <v>-957</v>
      </c>
      <c r="AD270" s="196"/>
      <c r="AE270" s="196"/>
      <c r="AF270" s="196"/>
      <c r="AG270" s="196"/>
      <c r="AH270" s="86">
        <f t="shared" si="40"/>
        <v>0</v>
      </c>
      <c r="AI270" s="237">
        <v>170.0</v>
      </c>
      <c r="AJ270" s="384"/>
      <c r="AK270" s="384"/>
      <c r="AL270" s="384"/>
      <c r="AM270" s="384"/>
      <c r="AN270" s="384"/>
      <c r="AO270" s="384">
        <v>0.0</v>
      </c>
      <c r="AP270" s="445">
        <v>484.2</v>
      </c>
      <c r="AQ270" s="254">
        <v>0.0</v>
      </c>
      <c r="AR270" s="255">
        <f t="shared" si="64"/>
        <v>1310172026</v>
      </c>
      <c r="AS270" s="255">
        <v>1.310172026E9</v>
      </c>
      <c r="AT270" s="353">
        <f t="shared" si="63"/>
        <v>0.9</v>
      </c>
      <c r="AU270" s="353">
        <f t="shared" si="23"/>
        <v>1</v>
      </c>
      <c r="AV270" s="341" t="s">
        <v>1212</v>
      </c>
      <c r="AW270" s="356"/>
      <c r="AX270" s="386">
        <v>45873.0</v>
      </c>
      <c r="AY270" s="356" t="s">
        <v>958</v>
      </c>
      <c r="AZ270" s="446"/>
      <c r="BA270" s="446"/>
      <c r="BB270" s="358" t="s">
        <v>1184</v>
      </c>
      <c r="BC270" s="385" t="s">
        <v>1213</v>
      </c>
      <c r="BD270" s="357" t="s">
        <v>67</v>
      </c>
      <c r="BE270" s="386"/>
      <c r="BF270" s="279"/>
      <c r="BG270" s="279"/>
      <c r="BH270" s="279"/>
    </row>
    <row r="271" ht="89.25" customHeight="1">
      <c r="A271" s="103">
        <v>270.0</v>
      </c>
      <c r="B271" s="24">
        <v>2023.0</v>
      </c>
      <c r="C271" s="23" t="s">
        <v>342</v>
      </c>
      <c r="D271" s="24" t="s">
        <v>118</v>
      </c>
      <c r="E271" s="23" t="s">
        <v>951</v>
      </c>
      <c r="F271" s="25">
        <v>4.600016216E9</v>
      </c>
      <c r="G271" s="23" t="s">
        <v>252</v>
      </c>
      <c r="H271" s="23" t="str">
        <f t="shared" si="68"/>
        <v>EL BAGRE</v>
      </c>
      <c r="I271" s="23" t="s">
        <v>85</v>
      </c>
      <c r="J271" s="23" t="s">
        <v>1214</v>
      </c>
      <c r="K271" s="23"/>
      <c r="L271" s="23">
        <v>4.0</v>
      </c>
      <c r="M271" s="447">
        <v>540.0</v>
      </c>
      <c r="N271" s="172">
        <v>0.0</v>
      </c>
      <c r="O271" s="82">
        <v>1.472403568E9</v>
      </c>
      <c r="P271" s="82">
        <v>5.0E7</v>
      </c>
      <c r="Q271" s="163">
        <f t="shared" si="2"/>
        <v>1522403568</v>
      </c>
      <c r="R271" s="135">
        <v>0.0</v>
      </c>
      <c r="S271" s="135">
        <v>0.0</v>
      </c>
      <c r="T271" s="163">
        <f t="shared" si="3"/>
        <v>1522403568</v>
      </c>
      <c r="U271" s="83" t="s">
        <v>64</v>
      </c>
      <c r="V271" s="83" t="s">
        <v>64</v>
      </c>
      <c r="W271" s="448"/>
      <c r="X271" s="449">
        <v>45239.0</v>
      </c>
      <c r="Y271" s="449">
        <v>45360.0</v>
      </c>
      <c r="Z271" s="177">
        <v>0.0</v>
      </c>
      <c r="AA271" s="177">
        <v>0.0</v>
      </c>
      <c r="AB271" s="449">
        <v>45360.0</v>
      </c>
      <c r="AC271" s="38">
        <f t="shared" si="4"/>
        <v>-927</v>
      </c>
      <c r="AD271" s="125"/>
      <c r="AE271" s="125"/>
      <c r="AF271" s="125"/>
      <c r="AG271" s="125"/>
      <c r="AH271" s="86">
        <f t="shared" si="40"/>
        <v>0</v>
      </c>
      <c r="AI271" s="450">
        <v>0.0</v>
      </c>
      <c r="AJ271" s="83"/>
      <c r="AK271" s="83"/>
      <c r="AL271" s="83"/>
      <c r="AM271" s="83"/>
      <c r="AN271" s="83"/>
      <c r="AO271" s="83">
        <v>0.0</v>
      </c>
      <c r="AP271" s="451">
        <v>540.0</v>
      </c>
      <c r="AQ271" s="172">
        <v>0.0</v>
      </c>
      <c r="AR271" s="82">
        <f t="shared" si="64"/>
        <v>1472403568</v>
      </c>
      <c r="AS271" s="82">
        <v>1.46E9</v>
      </c>
      <c r="AT271" s="452">
        <f t="shared" si="63"/>
        <v>1</v>
      </c>
      <c r="AU271" s="452">
        <f t="shared" si="23"/>
        <v>0.9915759726</v>
      </c>
      <c r="AV271" s="226" t="s">
        <v>1215</v>
      </c>
      <c r="AW271" s="24"/>
      <c r="AX271" s="453"/>
      <c r="AY271" s="24"/>
      <c r="AZ271" s="130"/>
      <c r="BA271" s="130"/>
      <c r="BB271" s="130"/>
      <c r="BC271" s="454"/>
      <c r="BD271" s="103"/>
      <c r="BE271" s="453"/>
      <c r="BF271" s="455"/>
      <c r="BG271" s="455"/>
      <c r="BH271" s="455"/>
    </row>
    <row r="272">
      <c r="A272" s="21">
        <v>271.0</v>
      </c>
      <c r="B272" s="22">
        <v>2023.0</v>
      </c>
      <c r="C272" s="23" t="s">
        <v>328</v>
      </c>
      <c r="D272" s="24" t="s">
        <v>118</v>
      </c>
      <c r="E272" s="23" t="s">
        <v>951</v>
      </c>
      <c r="F272" s="25">
        <v>4.600016167E9</v>
      </c>
      <c r="G272" s="23" t="s">
        <v>728</v>
      </c>
      <c r="H272" s="23" t="str">
        <f t="shared" si="68"/>
        <v>SANTO DOMINGO</v>
      </c>
      <c r="I272" s="23" t="s">
        <v>104</v>
      </c>
      <c r="J272" s="23" t="s">
        <v>1216</v>
      </c>
      <c r="K272" s="23"/>
      <c r="L272" s="23">
        <v>4.0</v>
      </c>
      <c r="M272" s="173">
        <v>659.0</v>
      </c>
      <c r="N272" s="162">
        <v>0.0</v>
      </c>
      <c r="O272" s="82">
        <v>1.499653372E9</v>
      </c>
      <c r="P272" s="82">
        <v>3.74913343E8</v>
      </c>
      <c r="Q272" s="163">
        <f t="shared" si="2"/>
        <v>1874566715</v>
      </c>
      <c r="R272" s="135">
        <v>0.0</v>
      </c>
      <c r="S272" s="135">
        <v>0.0</v>
      </c>
      <c r="T272" s="165">
        <f t="shared" si="3"/>
        <v>1874566715</v>
      </c>
      <c r="U272" s="83" t="s">
        <v>64</v>
      </c>
      <c r="V272" s="83" t="s">
        <v>64</v>
      </c>
      <c r="W272" s="175"/>
      <c r="X272" s="176">
        <v>45132.0</v>
      </c>
      <c r="Y272" s="176">
        <v>45285.0</v>
      </c>
      <c r="Z272" s="177">
        <v>3.0</v>
      </c>
      <c r="AA272" s="177">
        <v>0.0</v>
      </c>
      <c r="AB272" s="176">
        <v>45376.0</v>
      </c>
      <c r="AC272" s="38">
        <f t="shared" si="4"/>
        <v>-911</v>
      </c>
      <c r="AD272" s="27"/>
      <c r="AE272" s="27"/>
      <c r="AF272" s="27"/>
      <c r="AG272" s="27"/>
      <c r="AH272" s="86">
        <f t="shared" si="40"/>
        <v>0</v>
      </c>
      <c r="AI272" s="173">
        <v>330.0</v>
      </c>
      <c r="AJ272" s="166"/>
      <c r="AK272" s="166"/>
      <c r="AL272" s="166"/>
      <c r="AM272" s="166"/>
      <c r="AN272" s="166"/>
      <c r="AO272" s="166">
        <v>0.0</v>
      </c>
      <c r="AP272" s="378">
        <v>659.0</v>
      </c>
      <c r="AQ272" s="162">
        <v>0.0</v>
      </c>
      <c r="AR272" s="82">
        <f t="shared" si="64"/>
        <v>1499653372</v>
      </c>
      <c r="AS272" s="82">
        <v>1.499653372E9</v>
      </c>
      <c r="AT272" s="228">
        <f t="shared" si="63"/>
        <v>1</v>
      </c>
      <c r="AU272" s="228">
        <f t="shared" si="23"/>
        <v>1</v>
      </c>
      <c r="AV272" s="97" t="s">
        <v>1217</v>
      </c>
      <c r="AW272" s="42"/>
      <c r="AX272" s="368"/>
      <c r="AY272" s="42"/>
      <c r="AZ272" s="92"/>
      <c r="BA272" s="92"/>
      <c r="BB272" s="92"/>
      <c r="BC272" s="102"/>
      <c r="BD272" s="44"/>
      <c r="BE272" s="368"/>
      <c r="BF272" s="93"/>
      <c r="BG272" s="93"/>
      <c r="BH272" s="93"/>
    </row>
    <row r="273" ht="89.25" customHeight="1">
      <c r="A273" s="21">
        <v>272.0</v>
      </c>
      <c r="B273" s="22">
        <v>2023.0</v>
      </c>
      <c r="C273" s="23" t="s">
        <v>328</v>
      </c>
      <c r="D273" s="24" t="s">
        <v>74</v>
      </c>
      <c r="E273" s="23" t="s">
        <v>75</v>
      </c>
      <c r="F273" s="25" t="s">
        <v>1218</v>
      </c>
      <c r="G273" s="23" t="s">
        <v>103</v>
      </c>
      <c r="H273" s="23" t="str">
        <f t="shared" si="68"/>
        <v>VEGACHÍ</v>
      </c>
      <c r="I273" s="23" t="s">
        <v>104</v>
      </c>
      <c r="J273" s="23" t="s">
        <v>1219</v>
      </c>
      <c r="K273" s="23" t="s">
        <v>1220</v>
      </c>
      <c r="L273" s="23">
        <v>7.0</v>
      </c>
      <c r="M273" s="173">
        <v>500.0</v>
      </c>
      <c r="N273" s="162">
        <v>0.0</v>
      </c>
      <c r="O273" s="82">
        <v>1.60572801E8</v>
      </c>
      <c r="P273" s="82">
        <v>0.0</v>
      </c>
      <c r="Q273" s="163">
        <f t="shared" si="2"/>
        <v>160572801</v>
      </c>
      <c r="R273" s="164">
        <v>0.0</v>
      </c>
      <c r="S273" s="164">
        <v>0.0</v>
      </c>
      <c r="T273" s="165">
        <f t="shared" si="3"/>
        <v>160572801</v>
      </c>
      <c r="U273" s="83" t="s">
        <v>220</v>
      </c>
      <c r="V273" s="83" t="s">
        <v>220</v>
      </c>
      <c r="W273" s="175"/>
      <c r="X273" s="176">
        <v>45125.0</v>
      </c>
      <c r="Y273" s="176">
        <v>45248.0</v>
      </c>
      <c r="Z273" s="177">
        <v>0.0</v>
      </c>
      <c r="AA273" s="177">
        <v>0.0</v>
      </c>
      <c r="AB273" s="176">
        <v>45292.0</v>
      </c>
      <c r="AC273" s="38">
        <f t="shared" si="4"/>
        <v>-995</v>
      </c>
      <c r="AD273" s="81">
        <v>100.0</v>
      </c>
      <c r="AE273" s="196">
        <v>0.0</v>
      </c>
      <c r="AF273" s="81">
        <v>50.0</v>
      </c>
      <c r="AG273" s="81"/>
      <c r="AH273" s="95">
        <f t="shared" si="40"/>
        <v>150</v>
      </c>
      <c r="AI273" s="456">
        <v>400.0</v>
      </c>
      <c r="AJ273" s="88">
        <f>AH273-AI273</f>
        <v>-250</v>
      </c>
      <c r="AK273" s="211"/>
      <c r="AL273" s="211"/>
      <c r="AM273" s="211"/>
      <c r="AN273" s="211"/>
      <c r="AO273" s="211">
        <v>0.0</v>
      </c>
      <c r="AP273" s="178">
        <v>400.0</v>
      </c>
      <c r="AQ273" s="211">
        <v>0.0</v>
      </c>
      <c r="AR273" s="82">
        <f>O273</f>
        <v>160572801</v>
      </c>
      <c r="AS273" s="82">
        <v>1.24951045E8</v>
      </c>
      <c r="AT273" s="171">
        <f t="shared" si="63"/>
        <v>0.8</v>
      </c>
      <c r="AU273" s="171">
        <f t="shared" si="23"/>
        <v>0.77815822</v>
      </c>
      <c r="AV273" s="240" t="s">
        <v>1221</v>
      </c>
      <c r="AW273" s="91"/>
      <c r="AX273" s="457">
        <v>45644.0</v>
      </c>
      <c r="AY273" s="42" t="s">
        <v>273</v>
      </c>
      <c r="AZ273" s="44" t="s">
        <v>68</v>
      </c>
      <c r="BA273" s="44" t="s">
        <v>68</v>
      </c>
      <c r="BB273" s="45" t="s">
        <v>68</v>
      </c>
      <c r="BC273" s="102"/>
      <c r="BD273" s="44" t="s">
        <v>67</v>
      </c>
      <c r="BE273" s="98"/>
      <c r="BF273" s="99"/>
      <c r="BG273" s="99"/>
      <c r="BH273" s="99"/>
    </row>
    <row r="274" ht="104.25" customHeight="1">
      <c r="A274" s="50">
        <v>272.0</v>
      </c>
      <c r="B274" s="51">
        <v>2023.0</v>
      </c>
      <c r="C274" s="184" t="s">
        <v>267</v>
      </c>
      <c r="D274" s="52" t="s">
        <v>118</v>
      </c>
      <c r="E274" s="184" t="s">
        <v>951</v>
      </c>
      <c r="F274" s="53">
        <v>4.600016191E9</v>
      </c>
      <c r="G274" s="184" t="s">
        <v>295</v>
      </c>
      <c r="H274" s="184" t="str">
        <f t="shared" si="68"/>
        <v>NARIÑO</v>
      </c>
      <c r="I274" s="184" t="s">
        <v>120</v>
      </c>
      <c r="J274" s="184" t="s">
        <v>1222</v>
      </c>
      <c r="K274" s="184"/>
      <c r="L274" s="184">
        <v>6.0</v>
      </c>
      <c r="M274" s="100">
        <v>300.0</v>
      </c>
      <c r="N274" s="187">
        <v>0.0</v>
      </c>
      <c r="O274" s="113">
        <v>9.0E8</v>
      </c>
      <c r="P274" s="113">
        <v>2.9711804E7</v>
      </c>
      <c r="Q274" s="188">
        <f t="shared" si="2"/>
        <v>929711804</v>
      </c>
      <c r="R274" s="114">
        <v>0.0</v>
      </c>
      <c r="S274" s="114">
        <v>0.0</v>
      </c>
      <c r="T274" s="190">
        <f t="shared" si="3"/>
        <v>929711804</v>
      </c>
      <c r="U274" s="221" t="s">
        <v>220</v>
      </c>
      <c r="V274" s="221" t="s">
        <v>220</v>
      </c>
      <c r="W274" s="192"/>
      <c r="X274" s="193">
        <v>45131.0</v>
      </c>
      <c r="Y274" s="193">
        <v>45315.0</v>
      </c>
      <c r="Z274" s="194">
        <v>0.0</v>
      </c>
      <c r="AA274" s="194">
        <v>0.0</v>
      </c>
      <c r="AB274" s="193">
        <v>45315.0</v>
      </c>
      <c r="AC274" s="66">
        <f t="shared" si="4"/>
        <v>-972</v>
      </c>
      <c r="AD274" s="55"/>
      <c r="AE274" s="55"/>
      <c r="AF274" s="55"/>
      <c r="AG274" s="55"/>
      <c r="AH274" s="86">
        <f t="shared" si="40"/>
        <v>0</v>
      </c>
      <c r="AI274" s="100">
        <v>240.0</v>
      </c>
      <c r="AJ274" s="201"/>
      <c r="AK274" s="201"/>
      <c r="AL274" s="201"/>
      <c r="AM274" s="201"/>
      <c r="AN274" s="201"/>
      <c r="AO274" s="201">
        <v>0.0</v>
      </c>
      <c r="AP274" s="378">
        <v>300.0</v>
      </c>
      <c r="AQ274" s="187">
        <v>0.0</v>
      </c>
      <c r="AR274" s="113">
        <f>O274+R274</f>
        <v>900000000</v>
      </c>
      <c r="AS274" s="113">
        <v>9.0E8</v>
      </c>
      <c r="AT274" s="224">
        <f t="shared" si="63"/>
        <v>1</v>
      </c>
      <c r="AU274" s="224">
        <f t="shared" si="23"/>
        <v>1</v>
      </c>
      <c r="AV274" s="184" t="s">
        <v>1010</v>
      </c>
      <c r="AW274" s="215"/>
      <c r="AX274" s="458"/>
      <c r="AY274" s="215"/>
      <c r="AZ274" s="76"/>
      <c r="BA274" s="76"/>
      <c r="BB274" s="76"/>
      <c r="BC274" s="77"/>
      <c r="BD274" s="210"/>
      <c r="BE274" s="458"/>
    </row>
    <row r="275">
      <c r="A275" s="50">
        <v>273.0</v>
      </c>
      <c r="B275" s="51">
        <v>2023.0</v>
      </c>
      <c r="C275" s="184" t="s">
        <v>358</v>
      </c>
      <c r="D275" s="52" t="s">
        <v>74</v>
      </c>
      <c r="E275" s="184" t="s">
        <v>75</v>
      </c>
      <c r="F275" s="53" t="s">
        <v>1223</v>
      </c>
      <c r="G275" s="184" t="s">
        <v>69</v>
      </c>
      <c r="H275" s="184" t="str">
        <f t="shared" si="68"/>
        <v>VIGÍA DEL FUERTE</v>
      </c>
      <c r="I275" s="184" t="s">
        <v>61</v>
      </c>
      <c r="J275" s="184" t="s">
        <v>1224</v>
      </c>
      <c r="K275" s="184" t="s">
        <v>805</v>
      </c>
      <c r="L275" s="184">
        <v>7.0</v>
      </c>
      <c r="M275" s="100">
        <v>1150.0</v>
      </c>
      <c r="N275" s="187">
        <v>0.0</v>
      </c>
      <c r="O275" s="113">
        <v>3.07807087E8</v>
      </c>
      <c r="P275" s="113">
        <v>0.0</v>
      </c>
      <c r="Q275" s="188">
        <f t="shared" si="2"/>
        <v>307807087</v>
      </c>
      <c r="R275" s="189">
        <v>0.0</v>
      </c>
      <c r="S275" s="189">
        <v>0.0</v>
      </c>
      <c r="T275" s="190">
        <f t="shared" si="3"/>
        <v>307807087</v>
      </c>
      <c r="U275" s="221" t="s">
        <v>220</v>
      </c>
      <c r="V275" s="221" t="s">
        <v>220</v>
      </c>
      <c r="W275" s="192"/>
      <c r="X275" s="193">
        <v>45040.0</v>
      </c>
      <c r="Y275" s="193">
        <v>45162.0</v>
      </c>
      <c r="Z275" s="194">
        <v>0.0</v>
      </c>
      <c r="AA275" s="194">
        <v>0.0</v>
      </c>
      <c r="AB275" s="193">
        <v>45292.0</v>
      </c>
      <c r="AC275" s="66">
        <f t="shared" si="4"/>
        <v>-995</v>
      </c>
      <c r="AD275" s="55">
        <v>0.0</v>
      </c>
      <c r="AE275" s="55">
        <v>0.0</v>
      </c>
      <c r="AF275" s="55">
        <v>345.0</v>
      </c>
      <c r="AG275" s="55"/>
      <c r="AH275" s="95">
        <f t="shared" si="40"/>
        <v>345</v>
      </c>
      <c r="AI275" s="178">
        <v>345.0</v>
      </c>
      <c r="AJ275" s="88">
        <f t="shared" ref="AJ275:AJ276" si="69">AH275-AI275</f>
        <v>0</v>
      </c>
      <c r="AK275" s="280"/>
      <c r="AL275" s="280"/>
      <c r="AM275" s="280"/>
      <c r="AN275" s="280"/>
      <c r="AO275" s="280">
        <v>0.0</v>
      </c>
      <c r="AP275" s="87">
        <v>1150.0</v>
      </c>
      <c r="AQ275" s="280">
        <v>0.0</v>
      </c>
      <c r="AR275" s="113">
        <f t="shared" ref="AR275:AR276" si="70">O275</f>
        <v>307807087</v>
      </c>
      <c r="AS275" s="113">
        <v>3.07144725E8</v>
      </c>
      <c r="AT275" s="198">
        <f t="shared" si="63"/>
        <v>1</v>
      </c>
      <c r="AU275" s="198">
        <f t="shared" si="23"/>
        <v>0.9978481262</v>
      </c>
      <c r="AV275" s="118" t="s">
        <v>220</v>
      </c>
      <c r="AW275" s="74"/>
      <c r="AX275" s="75"/>
      <c r="AY275" s="215"/>
      <c r="AZ275" s="210"/>
      <c r="BA275" s="210"/>
      <c r="BB275" s="219"/>
      <c r="BC275" s="77"/>
      <c r="BD275" s="210"/>
      <c r="BE275" s="117"/>
      <c r="BF275" s="199"/>
      <c r="BG275" s="199"/>
      <c r="BH275" s="199"/>
    </row>
    <row r="276" ht="104.25" customHeight="1">
      <c r="A276" s="50">
        <v>275.0</v>
      </c>
      <c r="B276" s="51">
        <v>2022.0</v>
      </c>
      <c r="C276" s="184" t="s">
        <v>389</v>
      </c>
      <c r="D276" s="52" t="s">
        <v>74</v>
      </c>
      <c r="E276" s="184" t="s">
        <v>951</v>
      </c>
      <c r="F276" s="53">
        <v>4.600014914E9</v>
      </c>
      <c r="G276" s="184" t="s">
        <v>391</v>
      </c>
      <c r="H276" s="184" t="str">
        <f t="shared" si="68"/>
        <v>ANDES</v>
      </c>
      <c r="I276" s="184" t="s">
        <v>78</v>
      </c>
      <c r="J276" s="184" t="s">
        <v>1225</v>
      </c>
      <c r="K276" s="184" t="s">
        <v>1226</v>
      </c>
      <c r="L276" s="184">
        <v>7.0</v>
      </c>
      <c r="M276" s="100">
        <v>1700.0</v>
      </c>
      <c r="N276" s="187">
        <v>0.0</v>
      </c>
      <c r="O276" s="113">
        <v>1.5E9</v>
      </c>
      <c r="P276" s="113">
        <v>1.010641281E9</v>
      </c>
      <c r="Q276" s="188">
        <f t="shared" si="2"/>
        <v>2510641281</v>
      </c>
      <c r="R276" s="189">
        <v>0.0</v>
      </c>
      <c r="S276" s="189">
        <v>0.0</v>
      </c>
      <c r="T276" s="190">
        <f t="shared" si="3"/>
        <v>2510641281</v>
      </c>
      <c r="U276" s="221" t="s">
        <v>220</v>
      </c>
      <c r="V276" s="221" t="s">
        <v>220</v>
      </c>
      <c r="W276" s="192"/>
      <c r="X276" s="193">
        <v>44925.0</v>
      </c>
      <c r="Y276" s="193">
        <v>45168.0</v>
      </c>
      <c r="Z276" s="194">
        <v>0.0</v>
      </c>
      <c r="AA276" s="194">
        <v>0.0</v>
      </c>
      <c r="AB276" s="193">
        <v>45292.0</v>
      </c>
      <c r="AC276" s="66">
        <f t="shared" si="4"/>
        <v>-995</v>
      </c>
      <c r="AD276" s="55">
        <v>0.0</v>
      </c>
      <c r="AE276" s="55">
        <v>0.0</v>
      </c>
      <c r="AF276" s="196">
        <v>102.0</v>
      </c>
      <c r="AG276" s="196"/>
      <c r="AH276" s="95">
        <f t="shared" si="40"/>
        <v>102</v>
      </c>
      <c r="AI276" s="197">
        <v>102.0</v>
      </c>
      <c r="AJ276" s="88">
        <f t="shared" si="69"/>
        <v>0</v>
      </c>
      <c r="AK276" s="280"/>
      <c r="AL276" s="280"/>
      <c r="AM276" s="280"/>
      <c r="AN276" s="280"/>
      <c r="AO276" s="280">
        <v>0.0</v>
      </c>
      <c r="AP276" s="87">
        <v>1700.0</v>
      </c>
      <c r="AQ276" s="280">
        <v>0.0</v>
      </c>
      <c r="AR276" s="113">
        <f t="shared" si="70"/>
        <v>1500000000</v>
      </c>
      <c r="AS276" s="113">
        <v>1.5E9</v>
      </c>
      <c r="AT276" s="198">
        <f t="shared" si="63"/>
        <v>1</v>
      </c>
      <c r="AU276" s="198">
        <f t="shared" si="23"/>
        <v>1</v>
      </c>
      <c r="AV276" s="184" t="s">
        <v>220</v>
      </c>
      <c r="AW276" s="74"/>
      <c r="AX276" s="75"/>
      <c r="AY276" s="215"/>
      <c r="AZ276" s="210"/>
      <c r="BA276" s="210"/>
      <c r="BB276" s="219"/>
      <c r="BC276" s="77"/>
      <c r="BD276" s="210"/>
      <c r="BE276" s="117"/>
      <c r="BF276" s="199"/>
      <c r="BG276" s="199"/>
      <c r="BH276" s="199"/>
    </row>
    <row r="277" ht="89.25" customHeight="1">
      <c r="A277" s="50">
        <v>276.0</v>
      </c>
      <c r="B277" s="51">
        <v>2022.0</v>
      </c>
      <c r="C277" s="184" t="s">
        <v>328</v>
      </c>
      <c r="D277" s="52" t="s">
        <v>118</v>
      </c>
      <c r="E277" s="184" t="s">
        <v>75</v>
      </c>
      <c r="F277" s="53" t="s">
        <v>1227</v>
      </c>
      <c r="G277" s="184" t="s">
        <v>92</v>
      </c>
      <c r="H277" s="184" t="str">
        <f t="shared" si="68"/>
        <v>MACEO</v>
      </c>
      <c r="I277" s="184" t="s">
        <v>93</v>
      </c>
      <c r="J277" s="184" t="s">
        <v>1228</v>
      </c>
      <c r="K277" s="184"/>
      <c r="L277" s="184">
        <v>6.0</v>
      </c>
      <c r="M277" s="100">
        <v>212.0</v>
      </c>
      <c r="N277" s="187">
        <v>0.0</v>
      </c>
      <c r="O277" s="113">
        <v>6.9081627E7</v>
      </c>
      <c r="P277" s="113"/>
      <c r="Q277" s="188">
        <f t="shared" si="2"/>
        <v>69081627</v>
      </c>
      <c r="R277" s="114">
        <v>0.0</v>
      </c>
      <c r="S277" s="114">
        <v>0.0</v>
      </c>
      <c r="T277" s="190">
        <f t="shared" si="3"/>
        <v>69081627</v>
      </c>
      <c r="U277" s="221" t="s">
        <v>220</v>
      </c>
      <c r="V277" s="221" t="s">
        <v>220</v>
      </c>
      <c r="W277" s="192"/>
      <c r="X277" s="193">
        <v>44839.0</v>
      </c>
      <c r="Y277" s="193">
        <v>44895.0</v>
      </c>
      <c r="Z277" s="194">
        <v>0.0</v>
      </c>
      <c r="AA277" s="194">
        <v>0.0</v>
      </c>
      <c r="AB277" s="193">
        <v>45315.0</v>
      </c>
      <c r="AC277" s="66">
        <f t="shared" si="4"/>
        <v>-972</v>
      </c>
      <c r="AD277" s="55"/>
      <c r="AE277" s="55"/>
      <c r="AF277" s="55"/>
      <c r="AG277" s="55"/>
      <c r="AH277" s="86">
        <f t="shared" si="40"/>
        <v>0</v>
      </c>
      <c r="AI277" s="100">
        <v>140.0</v>
      </c>
      <c r="AJ277" s="201"/>
      <c r="AK277" s="201"/>
      <c r="AL277" s="201"/>
      <c r="AM277" s="201"/>
      <c r="AN277" s="201"/>
      <c r="AO277" s="201">
        <v>0.0</v>
      </c>
      <c r="AP277" s="378">
        <v>212.0</v>
      </c>
      <c r="AQ277" s="187">
        <v>0.0</v>
      </c>
      <c r="AR277" s="113">
        <f>O277+R277</f>
        <v>69081627</v>
      </c>
      <c r="AS277" s="113">
        <v>1.95501E7</v>
      </c>
      <c r="AT277" s="224">
        <f t="shared" si="63"/>
        <v>1</v>
      </c>
      <c r="AU277" s="224">
        <f t="shared" si="23"/>
        <v>0.2829999936</v>
      </c>
      <c r="AV277" s="459" t="s">
        <v>1229</v>
      </c>
      <c r="AW277" s="215"/>
      <c r="AX277" s="366"/>
      <c r="AY277" s="215"/>
      <c r="AZ277" s="76"/>
      <c r="BA277" s="76"/>
      <c r="BB277" s="76"/>
      <c r="BC277" s="209"/>
      <c r="BD277" s="210"/>
      <c r="BE277" s="366"/>
    </row>
    <row r="278" ht="104.25" customHeight="1">
      <c r="A278" s="50">
        <v>277.0</v>
      </c>
      <c r="B278" s="51">
        <v>2020.0</v>
      </c>
      <c r="C278" s="184" t="s">
        <v>124</v>
      </c>
      <c r="D278" s="52" t="s">
        <v>74</v>
      </c>
      <c r="E278" s="184" t="s">
        <v>828</v>
      </c>
      <c r="F278" s="53">
        <v>4.600011476E9</v>
      </c>
      <c r="G278" s="184" t="s">
        <v>126</v>
      </c>
      <c r="H278" s="184" t="str">
        <f t="shared" si="68"/>
        <v>ANZA</v>
      </c>
      <c r="I278" s="184" t="s">
        <v>127</v>
      </c>
      <c r="J278" s="184" t="s">
        <v>1230</v>
      </c>
      <c r="K278" s="184" t="s">
        <v>1231</v>
      </c>
      <c r="L278" s="184">
        <v>14.0</v>
      </c>
      <c r="M278" s="100">
        <v>1550.0</v>
      </c>
      <c r="N278" s="187">
        <v>0.0</v>
      </c>
      <c r="O278" s="113">
        <v>8.9963158E8</v>
      </c>
      <c r="P278" s="113">
        <v>8.9963158E8</v>
      </c>
      <c r="Q278" s="188">
        <f t="shared" si="2"/>
        <v>1799263160</v>
      </c>
      <c r="R278" s="189">
        <v>0.0</v>
      </c>
      <c r="S278" s="189">
        <v>0.0</v>
      </c>
      <c r="T278" s="190">
        <f t="shared" si="3"/>
        <v>1799263160</v>
      </c>
      <c r="U278" s="221" t="s">
        <v>220</v>
      </c>
      <c r="V278" s="221" t="s">
        <v>220</v>
      </c>
      <c r="W278" s="192"/>
      <c r="X278" s="193">
        <v>44193.0</v>
      </c>
      <c r="Y278" s="193">
        <v>44497.0</v>
      </c>
      <c r="Z278" s="194">
        <v>0.0</v>
      </c>
      <c r="AA278" s="194">
        <v>0.0</v>
      </c>
      <c r="AB278" s="193">
        <v>45292.0</v>
      </c>
      <c r="AC278" s="66">
        <f t="shared" si="4"/>
        <v>-995</v>
      </c>
      <c r="AD278" s="196">
        <v>1178.0</v>
      </c>
      <c r="AE278" s="196">
        <v>0.0</v>
      </c>
      <c r="AF278" s="196"/>
      <c r="AG278" s="196"/>
      <c r="AH278" s="95">
        <f t="shared" si="40"/>
        <v>1178</v>
      </c>
      <c r="AI278" s="237">
        <v>1178.0</v>
      </c>
      <c r="AJ278" s="88">
        <f t="shared" ref="AJ278:AJ279" si="71">AH278-AI278</f>
        <v>0</v>
      </c>
      <c r="AK278" s="280"/>
      <c r="AL278" s="280"/>
      <c r="AM278" s="280"/>
      <c r="AN278" s="280"/>
      <c r="AO278" s="280">
        <v>0.0</v>
      </c>
      <c r="AP278" s="178">
        <v>1180.0</v>
      </c>
      <c r="AQ278" s="280">
        <v>0.0</v>
      </c>
      <c r="AR278" s="113">
        <f t="shared" ref="AR278:AR290" si="72">O278</f>
        <v>899631580</v>
      </c>
      <c r="AS278" s="113">
        <v>0.0</v>
      </c>
      <c r="AT278" s="198">
        <f t="shared" si="63"/>
        <v>0.7612903226</v>
      </c>
      <c r="AU278" s="198">
        <f t="shared" si="23"/>
        <v>0</v>
      </c>
      <c r="AV278" s="184" t="s">
        <v>1232</v>
      </c>
      <c r="AW278" s="74"/>
      <c r="AX278" s="75"/>
      <c r="AY278" s="215"/>
      <c r="AZ278" s="210"/>
      <c r="BA278" s="210"/>
      <c r="BB278" s="219"/>
      <c r="BC278" s="77"/>
      <c r="BD278" s="210"/>
      <c r="BE278" s="117"/>
      <c r="BF278" s="199"/>
      <c r="BG278" s="199"/>
      <c r="BH278" s="199"/>
    </row>
    <row r="279" ht="104.25" customHeight="1">
      <c r="A279" s="50">
        <v>278.0</v>
      </c>
      <c r="B279" s="51">
        <v>2021.0</v>
      </c>
      <c r="C279" s="184" t="s">
        <v>328</v>
      </c>
      <c r="D279" s="52" t="s">
        <v>74</v>
      </c>
      <c r="E279" s="184" t="s">
        <v>828</v>
      </c>
      <c r="F279" s="53">
        <v>4.600012309E9</v>
      </c>
      <c r="G279" s="184" t="s">
        <v>1233</v>
      </c>
      <c r="H279" s="184" t="str">
        <f t="shared" si="68"/>
        <v>PUERTO NARE</v>
      </c>
      <c r="I279" s="184" t="s">
        <v>93</v>
      </c>
      <c r="J279" s="184" t="s">
        <v>1234</v>
      </c>
      <c r="K279" s="184" t="s">
        <v>1235</v>
      </c>
      <c r="L279" s="184">
        <v>12.0</v>
      </c>
      <c r="M279" s="100">
        <v>1400.0</v>
      </c>
      <c r="N279" s="187">
        <v>0.0</v>
      </c>
      <c r="O279" s="113">
        <v>9.0E8</v>
      </c>
      <c r="P279" s="113">
        <v>9.3266557E8</v>
      </c>
      <c r="Q279" s="188">
        <f t="shared" si="2"/>
        <v>1832665570</v>
      </c>
      <c r="R279" s="189">
        <v>0.0</v>
      </c>
      <c r="S279" s="189">
        <v>0.0</v>
      </c>
      <c r="T279" s="190">
        <f t="shared" si="3"/>
        <v>1832665570</v>
      </c>
      <c r="U279" s="221" t="s">
        <v>220</v>
      </c>
      <c r="V279" s="221" t="s">
        <v>220</v>
      </c>
      <c r="W279" s="192"/>
      <c r="X279" s="193">
        <v>44526.0</v>
      </c>
      <c r="Y279" s="193">
        <v>44799.0</v>
      </c>
      <c r="Z279" s="194">
        <v>0.0</v>
      </c>
      <c r="AA279" s="194">
        <v>0.0</v>
      </c>
      <c r="AB279" s="193">
        <v>45292.0</v>
      </c>
      <c r="AC279" s="66">
        <f t="shared" si="4"/>
        <v>-995</v>
      </c>
      <c r="AD279" s="55"/>
      <c r="AE279" s="196">
        <v>280.0</v>
      </c>
      <c r="AF279" s="55"/>
      <c r="AG279" s="55"/>
      <c r="AH279" s="95">
        <f t="shared" si="40"/>
        <v>280</v>
      </c>
      <c r="AI279" s="178">
        <v>280.0</v>
      </c>
      <c r="AJ279" s="88">
        <f t="shared" si="71"/>
        <v>0</v>
      </c>
      <c r="AK279" s="280"/>
      <c r="AL279" s="280"/>
      <c r="AM279" s="280"/>
      <c r="AN279" s="280"/>
      <c r="AO279" s="280">
        <v>0.0</v>
      </c>
      <c r="AP279" s="87">
        <v>1400.0</v>
      </c>
      <c r="AQ279" s="280">
        <v>0.0</v>
      </c>
      <c r="AR279" s="113">
        <f t="shared" si="72"/>
        <v>900000000</v>
      </c>
      <c r="AS279" s="113">
        <v>8.63E8</v>
      </c>
      <c r="AT279" s="460">
        <v>1.0</v>
      </c>
      <c r="AU279" s="461">
        <f t="shared" si="23"/>
        <v>0.9588888889</v>
      </c>
      <c r="AV279" s="462" t="s">
        <v>1236</v>
      </c>
      <c r="AW279" s="74"/>
      <c r="AX279" s="75"/>
      <c r="AY279" s="215"/>
      <c r="AZ279" s="210"/>
      <c r="BA279" s="210"/>
      <c r="BB279" s="219"/>
      <c r="BC279" s="77"/>
      <c r="BD279" s="210"/>
      <c r="BE279" s="117"/>
      <c r="BF279" s="199"/>
      <c r="BG279" s="199"/>
      <c r="BH279" s="199"/>
    </row>
    <row r="280" ht="104.25" customHeight="1">
      <c r="A280" s="50">
        <v>279.0</v>
      </c>
      <c r="B280" s="51">
        <v>2021.0</v>
      </c>
      <c r="C280" s="184" t="s">
        <v>328</v>
      </c>
      <c r="D280" s="52" t="s">
        <v>118</v>
      </c>
      <c r="E280" s="184" t="s">
        <v>828</v>
      </c>
      <c r="F280" s="53">
        <v>4.600012318E9</v>
      </c>
      <c r="G280" s="184" t="s">
        <v>335</v>
      </c>
      <c r="H280" s="184" t="str">
        <f t="shared" si="68"/>
        <v>SAN ROQUE</v>
      </c>
      <c r="I280" s="184" t="s">
        <v>104</v>
      </c>
      <c r="J280" s="184" t="s">
        <v>1237</v>
      </c>
      <c r="K280" s="184" t="s">
        <v>1238</v>
      </c>
      <c r="L280" s="184">
        <v>12.0</v>
      </c>
      <c r="M280" s="100">
        <v>1135.0</v>
      </c>
      <c r="N280" s="187">
        <v>0.0</v>
      </c>
      <c r="O280" s="113">
        <v>9.0E8</v>
      </c>
      <c r="P280" s="113">
        <v>9.0E8</v>
      </c>
      <c r="Q280" s="188">
        <f t="shared" si="2"/>
        <v>1800000000</v>
      </c>
      <c r="R280" s="189">
        <v>0.0</v>
      </c>
      <c r="S280" s="189">
        <v>0.0</v>
      </c>
      <c r="T280" s="190">
        <f t="shared" si="3"/>
        <v>1800000000</v>
      </c>
      <c r="U280" s="221" t="s">
        <v>220</v>
      </c>
      <c r="V280" s="221" t="s">
        <v>220</v>
      </c>
      <c r="W280" s="192"/>
      <c r="X280" s="193">
        <v>44483.0</v>
      </c>
      <c r="Y280" s="193">
        <v>44818.0</v>
      </c>
      <c r="Z280" s="194">
        <v>0.0</v>
      </c>
      <c r="AA280" s="194">
        <v>0.0</v>
      </c>
      <c r="AB280" s="193">
        <v>45292.0</v>
      </c>
      <c r="AC280" s="66">
        <f t="shared" si="4"/>
        <v>-995</v>
      </c>
      <c r="AD280" s="55"/>
      <c r="AE280" s="55"/>
      <c r="AF280" s="55"/>
      <c r="AG280" s="55"/>
      <c r="AH280" s="86">
        <f t="shared" si="40"/>
        <v>0</v>
      </c>
      <c r="AI280" s="100">
        <v>60.0</v>
      </c>
      <c r="AJ280" s="280"/>
      <c r="AK280" s="280"/>
      <c r="AL280" s="280"/>
      <c r="AM280" s="280"/>
      <c r="AN280" s="280"/>
      <c r="AO280" s="280">
        <v>0.0</v>
      </c>
      <c r="AP280" s="178">
        <v>1135.0</v>
      </c>
      <c r="AQ280" s="280">
        <v>0.0</v>
      </c>
      <c r="AR280" s="113">
        <f t="shared" si="72"/>
        <v>900000000</v>
      </c>
      <c r="AS280" s="113">
        <v>8.50300575E8</v>
      </c>
      <c r="AT280" s="224">
        <f t="shared" ref="AT280:AT360" si="73">AP280/M280</f>
        <v>1</v>
      </c>
      <c r="AU280" s="224">
        <f t="shared" si="23"/>
        <v>0.9447784167</v>
      </c>
      <c r="AV280" s="184" t="s">
        <v>1239</v>
      </c>
      <c r="AW280" s="74"/>
      <c r="AX280" s="75"/>
      <c r="AY280" s="215"/>
      <c r="AZ280" s="210"/>
      <c r="BA280" s="210"/>
      <c r="BB280" s="219"/>
      <c r="BC280" s="77"/>
      <c r="BD280" s="210"/>
      <c r="BE280" s="117"/>
      <c r="BF280" s="199"/>
      <c r="BG280" s="199"/>
      <c r="BH280" s="199"/>
    </row>
    <row r="281" ht="104.25" customHeight="1">
      <c r="A281" s="50">
        <v>280.0</v>
      </c>
      <c r="B281" s="51">
        <v>2021.0</v>
      </c>
      <c r="C281" s="184" t="s">
        <v>428</v>
      </c>
      <c r="D281" s="52" t="s">
        <v>118</v>
      </c>
      <c r="E281" s="184" t="s">
        <v>828</v>
      </c>
      <c r="F281" s="53">
        <v>4.600013145E9</v>
      </c>
      <c r="G281" s="184" t="s">
        <v>1240</v>
      </c>
      <c r="H281" s="184" t="str">
        <f t="shared" si="68"/>
        <v>SABANETA</v>
      </c>
      <c r="I281" s="184" t="s">
        <v>185</v>
      </c>
      <c r="J281" s="184" t="s">
        <v>1241</v>
      </c>
      <c r="K281" s="184" t="s">
        <v>1242</v>
      </c>
      <c r="L281" s="184">
        <v>12.0</v>
      </c>
      <c r="M281" s="100">
        <v>3270.0</v>
      </c>
      <c r="N281" s="187">
        <v>0.0</v>
      </c>
      <c r="O281" s="113">
        <v>3.7E9</v>
      </c>
      <c r="P281" s="113">
        <v>7.955E9</v>
      </c>
      <c r="Q281" s="188">
        <f t="shared" si="2"/>
        <v>11655000000</v>
      </c>
      <c r="R281" s="189">
        <v>0.0</v>
      </c>
      <c r="S281" s="189">
        <v>0.0</v>
      </c>
      <c r="T281" s="190">
        <f t="shared" si="3"/>
        <v>11655000000</v>
      </c>
      <c r="U281" s="221" t="s">
        <v>220</v>
      </c>
      <c r="V281" s="221" t="s">
        <v>220</v>
      </c>
      <c r="W281" s="192"/>
      <c r="X281" s="193">
        <v>44543.0</v>
      </c>
      <c r="Y281" s="193">
        <v>44773.0</v>
      </c>
      <c r="Z281" s="194">
        <v>0.0</v>
      </c>
      <c r="AA281" s="194">
        <v>0.0</v>
      </c>
      <c r="AB281" s="193">
        <v>45292.0</v>
      </c>
      <c r="AC281" s="66">
        <f t="shared" si="4"/>
        <v>-995</v>
      </c>
      <c r="AD281" s="55"/>
      <c r="AE281" s="55"/>
      <c r="AF281" s="55"/>
      <c r="AG281" s="55"/>
      <c r="AH281" s="86">
        <f t="shared" si="40"/>
        <v>0</v>
      </c>
      <c r="AI281" s="100">
        <v>1390.0</v>
      </c>
      <c r="AJ281" s="280"/>
      <c r="AK281" s="280"/>
      <c r="AL281" s="280"/>
      <c r="AM281" s="280"/>
      <c r="AN281" s="280"/>
      <c r="AO281" s="280">
        <v>0.0</v>
      </c>
      <c r="AP281" s="178">
        <f>1390+1650</f>
        <v>3040</v>
      </c>
      <c r="AQ281" s="280">
        <v>0.0</v>
      </c>
      <c r="AR281" s="113">
        <f t="shared" si="72"/>
        <v>3700000000</v>
      </c>
      <c r="AS281" s="113">
        <v>9.0E8</v>
      </c>
      <c r="AT281" s="224">
        <f t="shared" si="73"/>
        <v>0.9296636086</v>
      </c>
      <c r="AU281" s="224">
        <f t="shared" si="23"/>
        <v>0.2432432432</v>
      </c>
      <c r="AV281" s="184" t="s">
        <v>1243</v>
      </c>
      <c r="AW281" s="74"/>
      <c r="AX281" s="75"/>
      <c r="AY281" s="215"/>
      <c r="AZ281" s="210"/>
      <c r="BA281" s="210"/>
      <c r="BB281" s="219"/>
      <c r="BC281" s="77"/>
      <c r="BD281" s="210"/>
      <c r="BE281" s="117"/>
      <c r="BF281" s="199"/>
      <c r="BG281" s="199"/>
      <c r="BH281" s="199"/>
    </row>
    <row r="282" ht="104.25" customHeight="1">
      <c r="A282" s="50">
        <v>281.0</v>
      </c>
      <c r="B282" s="51">
        <v>2021.0</v>
      </c>
      <c r="C282" s="184" t="s">
        <v>358</v>
      </c>
      <c r="D282" s="52" t="s">
        <v>118</v>
      </c>
      <c r="E282" s="184" t="s">
        <v>75</v>
      </c>
      <c r="F282" s="53" t="s">
        <v>1244</v>
      </c>
      <c r="G282" s="184" t="s">
        <v>895</v>
      </c>
      <c r="H282" s="184" t="str">
        <f t="shared" si="68"/>
        <v>CHIGORODÓ</v>
      </c>
      <c r="I282" s="184" t="s">
        <v>61</v>
      </c>
      <c r="J282" s="184" t="s">
        <v>1245</v>
      </c>
      <c r="K282" s="184"/>
      <c r="L282" s="184">
        <v>12.0</v>
      </c>
      <c r="M282" s="100">
        <v>1000.0</v>
      </c>
      <c r="N282" s="187">
        <v>0.0</v>
      </c>
      <c r="O282" s="113">
        <v>2.89770925E8</v>
      </c>
      <c r="P282" s="113">
        <v>0.0</v>
      </c>
      <c r="Q282" s="188">
        <f t="shared" si="2"/>
        <v>289770925</v>
      </c>
      <c r="R282" s="189">
        <v>0.0</v>
      </c>
      <c r="S282" s="189">
        <v>0.0</v>
      </c>
      <c r="T282" s="190">
        <f t="shared" si="3"/>
        <v>289770925</v>
      </c>
      <c r="U282" s="221" t="s">
        <v>220</v>
      </c>
      <c r="V282" s="221" t="s">
        <v>220</v>
      </c>
      <c r="W282" s="192"/>
      <c r="X282" s="193">
        <v>44405.0</v>
      </c>
      <c r="Y282" s="193">
        <v>44561.0</v>
      </c>
      <c r="Z282" s="194">
        <v>0.0</v>
      </c>
      <c r="AA282" s="194">
        <v>0.0</v>
      </c>
      <c r="AB282" s="193">
        <v>45292.0</v>
      </c>
      <c r="AC282" s="66">
        <f t="shared" si="4"/>
        <v>-995</v>
      </c>
      <c r="AD282" s="55"/>
      <c r="AE282" s="55"/>
      <c r="AF282" s="55"/>
      <c r="AG282" s="55"/>
      <c r="AH282" s="86">
        <f t="shared" si="40"/>
        <v>0</v>
      </c>
      <c r="AI282" s="100">
        <v>100.0</v>
      </c>
      <c r="AJ282" s="280"/>
      <c r="AK282" s="280"/>
      <c r="AL282" s="280"/>
      <c r="AM282" s="280"/>
      <c r="AN282" s="280"/>
      <c r="AO282" s="280">
        <v>0.0</v>
      </c>
      <c r="AP282" s="178">
        <v>1000.0</v>
      </c>
      <c r="AQ282" s="280">
        <v>0.0</v>
      </c>
      <c r="AR282" s="113">
        <f t="shared" si="72"/>
        <v>289770925</v>
      </c>
      <c r="AS282" s="113">
        <v>2.89770925E8</v>
      </c>
      <c r="AT282" s="224">
        <f t="shared" si="73"/>
        <v>1</v>
      </c>
      <c r="AU282" s="224">
        <f t="shared" si="23"/>
        <v>1</v>
      </c>
      <c r="AV282" s="184" t="s">
        <v>1246</v>
      </c>
      <c r="AW282" s="74"/>
      <c r="AX282" s="214">
        <v>45608.0</v>
      </c>
      <c r="AY282" s="215"/>
      <c r="AZ282" s="210"/>
      <c r="BA282" s="210"/>
      <c r="BB282" s="219"/>
      <c r="BC282" s="77"/>
      <c r="BD282" s="210"/>
      <c r="BE282" s="117"/>
      <c r="BF282" s="199"/>
      <c r="BG282" s="199"/>
      <c r="BH282" s="199"/>
    </row>
    <row r="283" ht="104.25" customHeight="1">
      <c r="A283" s="50">
        <v>282.0</v>
      </c>
      <c r="B283" s="51">
        <v>2021.0</v>
      </c>
      <c r="C283" s="184" t="s">
        <v>342</v>
      </c>
      <c r="D283" s="52" t="s">
        <v>118</v>
      </c>
      <c r="E283" s="184" t="s">
        <v>828</v>
      </c>
      <c r="F283" s="53" t="s">
        <v>1247</v>
      </c>
      <c r="G283" s="184" t="s">
        <v>1248</v>
      </c>
      <c r="H283" s="184" t="str">
        <f t="shared" si="68"/>
        <v>SEGOVIA</v>
      </c>
      <c r="I283" s="184" t="s">
        <v>104</v>
      </c>
      <c r="J283" s="184" t="s">
        <v>1249</v>
      </c>
      <c r="K283" s="184"/>
      <c r="L283" s="184">
        <v>12.0</v>
      </c>
      <c r="M283" s="100">
        <v>720.0</v>
      </c>
      <c r="N283" s="187">
        <v>0.0</v>
      </c>
      <c r="O283" s="113">
        <v>1.73631014E8</v>
      </c>
      <c r="P283" s="113">
        <v>7.0015696E8</v>
      </c>
      <c r="Q283" s="188">
        <f t="shared" si="2"/>
        <v>873787974</v>
      </c>
      <c r="R283" s="189">
        <v>0.0</v>
      </c>
      <c r="S283" s="189">
        <v>0.0</v>
      </c>
      <c r="T283" s="190">
        <f t="shared" si="3"/>
        <v>873787974</v>
      </c>
      <c r="U283" s="221" t="s">
        <v>220</v>
      </c>
      <c r="V283" s="221" t="s">
        <v>220</v>
      </c>
      <c r="W283" s="192"/>
      <c r="X283" s="193">
        <v>44441.0</v>
      </c>
      <c r="Y283" s="193">
        <v>44650.0</v>
      </c>
      <c r="Z283" s="194">
        <v>0.0</v>
      </c>
      <c r="AA283" s="194">
        <v>0.0</v>
      </c>
      <c r="AB283" s="193">
        <v>45292.0</v>
      </c>
      <c r="AC283" s="66">
        <f t="shared" si="4"/>
        <v>-995</v>
      </c>
      <c r="AD283" s="55"/>
      <c r="AE283" s="55"/>
      <c r="AF283" s="55"/>
      <c r="AG283" s="55"/>
      <c r="AH283" s="86">
        <f t="shared" si="40"/>
        <v>0</v>
      </c>
      <c r="AI283" s="100">
        <v>110.0</v>
      </c>
      <c r="AJ283" s="280"/>
      <c r="AK283" s="280"/>
      <c r="AL283" s="280"/>
      <c r="AM283" s="280"/>
      <c r="AN283" s="280"/>
      <c r="AO283" s="280">
        <v>0.0</v>
      </c>
      <c r="AP283" s="178">
        <v>720.0</v>
      </c>
      <c r="AQ283" s="280">
        <v>0.0</v>
      </c>
      <c r="AR283" s="113">
        <f t="shared" si="72"/>
        <v>173631014</v>
      </c>
      <c r="AS283" s="113">
        <v>1.73631014E8</v>
      </c>
      <c r="AT283" s="224">
        <f t="shared" si="73"/>
        <v>1</v>
      </c>
      <c r="AU283" s="224">
        <f t="shared" si="23"/>
        <v>1</v>
      </c>
      <c r="AV283" s="184" t="s">
        <v>1250</v>
      </c>
      <c r="AW283" s="74"/>
      <c r="AX283" s="214"/>
      <c r="AY283" s="215"/>
      <c r="AZ283" s="210"/>
      <c r="BA283" s="210"/>
      <c r="BB283" s="219"/>
      <c r="BC283" s="77"/>
      <c r="BD283" s="210"/>
      <c r="BE283" s="117"/>
      <c r="BF283" s="199"/>
      <c r="BG283" s="199"/>
      <c r="BH283" s="199"/>
    </row>
    <row r="284" ht="104.25" customHeight="1">
      <c r="A284" s="50">
        <v>283.0</v>
      </c>
      <c r="B284" s="51">
        <v>2021.0</v>
      </c>
      <c r="C284" s="184" t="s">
        <v>328</v>
      </c>
      <c r="D284" s="52" t="s">
        <v>118</v>
      </c>
      <c r="E284" s="184" t="s">
        <v>828</v>
      </c>
      <c r="F284" s="53" t="s">
        <v>1251</v>
      </c>
      <c r="G284" s="184" t="s">
        <v>98</v>
      </c>
      <c r="H284" s="184" t="str">
        <f t="shared" si="68"/>
        <v>PUERTO TRIUNFO</v>
      </c>
      <c r="I284" s="184" t="s">
        <v>93</v>
      </c>
      <c r="J284" s="184" t="s">
        <v>1252</v>
      </c>
      <c r="K284" s="184" t="s">
        <v>1253</v>
      </c>
      <c r="L284" s="184">
        <v>12.0</v>
      </c>
      <c r="M284" s="100">
        <v>2000.0</v>
      </c>
      <c r="N284" s="187">
        <v>0.0</v>
      </c>
      <c r="O284" s="113">
        <v>5.7314584E8</v>
      </c>
      <c r="P284" s="113"/>
      <c r="Q284" s="188">
        <f t="shared" si="2"/>
        <v>573145840</v>
      </c>
      <c r="R284" s="189">
        <v>0.0</v>
      </c>
      <c r="S284" s="189">
        <v>0.0</v>
      </c>
      <c r="T284" s="190">
        <f t="shared" si="3"/>
        <v>573145840</v>
      </c>
      <c r="U284" s="221" t="s">
        <v>220</v>
      </c>
      <c r="V284" s="221" t="s">
        <v>220</v>
      </c>
      <c r="W284" s="192"/>
      <c r="X284" s="193">
        <v>44405.0</v>
      </c>
      <c r="Y284" s="193">
        <v>44742.0</v>
      </c>
      <c r="Z284" s="194">
        <v>0.0</v>
      </c>
      <c r="AA284" s="194">
        <v>0.0</v>
      </c>
      <c r="AB284" s="193">
        <v>45292.0</v>
      </c>
      <c r="AC284" s="66">
        <f t="shared" si="4"/>
        <v>-995</v>
      </c>
      <c r="AD284" s="55"/>
      <c r="AE284" s="55"/>
      <c r="AF284" s="55"/>
      <c r="AG284" s="55"/>
      <c r="AH284" s="86">
        <f t="shared" si="40"/>
        <v>0</v>
      </c>
      <c r="AI284" s="100">
        <v>260.0</v>
      </c>
      <c r="AJ284" s="280"/>
      <c r="AK284" s="280"/>
      <c r="AL284" s="280"/>
      <c r="AM284" s="280"/>
      <c r="AN284" s="280"/>
      <c r="AO284" s="280">
        <v>0.0</v>
      </c>
      <c r="AP284" s="178">
        <v>1260.0</v>
      </c>
      <c r="AQ284" s="280">
        <v>0.0</v>
      </c>
      <c r="AR284" s="113">
        <f t="shared" si="72"/>
        <v>573145840</v>
      </c>
      <c r="AS284" s="113">
        <v>5.7314584E8</v>
      </c>
      <c r="AT284" s="224">
        <f t="shared" si="73"/>
        <v>0.63</v>
      </c>
      <c r="AU284" s="224">
        <f t="shared" si="23"/>
        <v>1</v>
      </c>
      <c r="AV284" s="184" t="s">
        <v>1254</v>
      </c>
      <c r="AW284" s="74"/>
      <c r="AX284" s="214"/>
      <c r="AY284" s="215"/>
      <c r="AZ284" s="210"/>
      <c r="BA284" s="210"/>
      <c r="BB284" s="219"/>
      <c r="BC284" s="77"/>
      <c r="BD284" s="210"/>
      <c r="BE284" s="117"/>
      <c r="BF284" s="199"/>
      <c r="BG284" s="199"/>
      <c r="BH284" s="199"/>
    </row>
    <row r="285" ht="104.25" customHeight="1">
      <c r="A285" s="50">
        <v>284.0</v>
      </c>
      <c r="B285" s="463">
        <v>2024.0</v>
      </c>
      <c r="C285" s="464" t="s">
        <v>1255</v>
      </c>
      <c r="D285" s="465" t="s">
        <v>74</v>
      </c>
      <c r="E285" s="464" t="s">
        <v>1256</v>
      </c>
      <c r="F285" s="53">
        <v>2.024003050239E12</v>
      </c>
      <c r="G285" s="184" t="s">
        <v>300</v>
      </c>
      <c r="H285" s="184" t="s">
        <v>1257</v>
      </c>
      <c r="I285" s="184" t="s">
        <v>120</v>
      </c>
      <c r="J285" s="184" t="s">
        <v>1258</v>
      </c>
      <c r="K285" s="184" t="s">
        <v>1259</v>
      </c>
      <c r="L285" s="184">
        <v>8.0</v>
      </c>
      <c r="M285" s="100">
        <v>4000.0</v>
      </c>
      <c r="N285" s="187">
        <v>0.0</v>
      </c>
      <c r="O285" s="113">
        <v>5.636912239E9</v>
      </c>
      <c r="P285" s="113">
        <v>1.40922806E9</v>
      </c>
      <c r="Q285" s="188">
        <f t="shared" si="2"/>
        <v>7046140299</v>
      </c>
      <c r="R285" s="189">
        <v>0.0</v>
      </c>
      <c r="S285" s="189">
        <v>0.0</v>
      </c>
      <c r="T285" s="190">
        <f t="shared" si="3"/>
        <v>7046140299</v>
      </c>
      <c r="U285" s="221" t="s">
        <v>220</v>
      </c>
      <c r="V285" s="221" t="s">
        <v>220</v>
      </c>
      <c r="W285" s="192"/>
      <c r="X285" s="193">
        <v>45635.0</v>
      </c>
      <c r="Y285" s="193">
        <v>45966.0</v>
      </c>
      <c r="Z285" s="194">
        <v>0.0</v>
      </c>
      <c r="AA285" s="194">
        <v>0.0</v>
      </c>
      <c r="AB285" s="193">
        <v>45966.0</v>
      </c>
      <c r="AC285" s="66">
        <f t="shared" si="4"/>
        <v>-321</v>
      </c>
      <c r="AD285" s="55"/>
      <c r="AE285" s="55"/>
      <c r="AF285" s="55"/>
      <c r="AG285" s="55"/>
      <c r="AH285" s="86">
        <f t="shared" si="40"/>
        <v>0</v>
      </c>
      <c r="AI285" s="100">
        <v>4000.0</v>
      </c>
      <c r="AJ285" s="280"/>
      <c r="AK285" s="280"/>
      <c r="AL285" s="280"/>
      <c r="AM285" s="280"/>
      <c r="AN285" s="280"/>
      <c r="AO285" s="280">
        <v>0.0</v>
      </c>
      <c r="AP285" s="178">
        <v>4000.0</v>
      </c>
      <c r="AQ285" s="280">
        <v>0.0</v>
      </c>
      <c r="AR285" s="113">
        <f t="shared" si="72"/>
        <v>5636912239</v>
      </c>
      <c r="AS285" s="113">
        <v>5.636912239E9</v>
      </c>
      <c r="AT285" s="224">
        <f t="shared" si="73"/>
        <v>1</v>
      </c>
      <c r="AU285" s="224">
        <f t="shared" si="23"/>
        <v>1</v>
      </c>
      <c r="AV285" s="184" t="s">
        <v>1260</v>
      </c>
      <c r="AW285" s="74"/>
      <c r="AX285" s="214"/>
      <c r="AY285" s="215"/>
      <c r="AZ285" s="210"/>
      <c r="BA285" s="210"/>
      <c r="BB285" s="219"/>
      <c r="BC285" s="77"/>
      <c r="BD285" s="210"/>
      <c r="BE285" s="117"/>
      <c r="BF285" s="199"/>
      <c r="BG285" s="199"/>
      <c r="BH285" s="199"/>
    </row>
    <row r="286" ht="104.25" customHeight="1">
      <c r="A286" s="50">
        <v>285.0</v>
      </c>
      <c r="B286" s="51">
        <v>2023.0</v>
      </c>
      <c r="C286" s="184" t="s">
        <v>90</v>
      </c>
      <c r="D286" s="52" t="s">
        <v>74</v>
      </c>
      <c r="E286" s="184" t="s">
        <v>1261</v>
      </c>
      <c r="F286" s="53">
        <v>4.600016151E9</v>
      </c>
      <c r="G286" s="184" t="s">
        <v>103</v>
      </c>
      <c r="H286" s="184" t="str">
        <f t="shared" ref="H286:H290" si="74">G286</f>
        <v>VEGACHÍ</v>
      </c>
      <c r="I286" s="184" t="s">
        <v>104</v>
      </c>
      <c r="J286" s="184" t="s">
        <v>1262</v>
      </c>
      <c r="K286" s="184" t="s">
        <v>1263</v>
      </c>
      <c r="L286" s="184">
        <v>4.0</v>
      </c>
      <c r="M286" s="100">
        <v>2000.0</v>
      </c>
      <c r="N286" s="187">
        <v>0.0</v>
      </c>
      <c r="O286" s="113">
        <v>5.65143519E8</v>
      </c>
      <c r="P286" s="113"/>
      <c r="Q286" s="188">
        <f t="shared" si="2"/>
        <v>565143519</v>
      </c>
      <c r="R286" s="189">
        <v>0.0</v>
      </c>
      <c r="S286" s="189">
        <v>0.0</v>
      </c>
      <c r="T286" s="190">
        <f t="shared" si="3"/>
        <v>565143519</v>
      </c>
      <c r="U286" s="221" t="s">
        <v>220</v>
      </c>
      <c r="V286" s="221" t="s">
        <v>220</v>
      </c>
      <c r="W286" s="192"/>
      <c r="X286" s="193">
        <v>45114.0</v>
      </c>
      <c r="Y286" s="193">
        <v>45298.0</v>
      </c>
      <c r="Z286" s="194">
        <v>0.0</v>
      </c>
      <c r="AA286" s="194">
        <v>0.0</v>
      </c>
      <c r="AB286" s="193">
        <v>45298.0</v>
      </c>
      <c r="AC286" s="66">
        <f t="shared" si="4"/>
        <v>-989</v>
      </c>
      <c r="AD286" s="55"/>
      <c r="AE286" s="55"/>
      <c r="AF286" s="55"/>
      <c r="AG286" s="55"/>
      <c r="AH286" s="95">
        <f t="shared" si="40"/>
        <v>0</v>
      </c>
      <c r="AI286" s="178">
        <v>0.0</v>
      </c>
      <c r="AJ286" s="88">
        <f t="shared" ref="AJ286:AJ290" si="75">AH286-AI286</f>
        <v>0</v>
      </c>
      <c r="AK286" s="280"/>
      <c r="AL286" s="280"/>
      <c r="AM286" s="280"/>
      <c r="AN286" s="280"/>
      <c r="AO286" s="280">
        <v>0.0</v>
      </c>
      <c r="AP286" s="178">
        <v>600.0</v>
      </c>
      <c r="AQ286" s="280">
        <v>0.0</v>
      </c>
      <c r="AR286" s="113">
        <f t="shared" si="72"/>
        <v>565143519</v>
      </c>
      <c r="AS286" s="113">
        <v>5.65143519E8</v>
      </c>
      <c r="AT286" s="198">
        <f t="shared" si="73"/>
        <v>0.3</v>
      </c>
      <c r="AU286" s="198">
        <f t="shared" si="23"/>
        <v>1</v>
      </c>
      <c r="AV286" s="462" t="s">
        <v>1264</v>
      </c>
      <c r="AW286" s="74"/>
      <c r="AX286" s="75"/>
      <c r="AY286" s="215"/>
      <c r="AZ286" s="210"/>
      <c r="BA286" s="210"/>
      <c r="BB286" s="219"/>
      <c r="BC286" s="77"/>
      <c r="BD286" s="210"/>
      <c r="BE286" s="117"/>
      <c r="BF286" s="199"/>
      <c r="BG286" s="199"/>
      <c r="BH286" s="199"/>
    </row>
    <row r="287" ht="104.25" customHeight="1">
      <c r="A287" s="50">
        <v>286.0</v>
      </c>
      <c r="B287" s="51">
        <v>2023.0</v>
      </c>
      <c r="C287" s="184" t="s">
        <v>90</v>
      </c>
      <c r="D287" s="52" t="s">
        <v>74</v>
      </c>
      <c r="E287" s="184" t="s">
        <v>1261</v>
      </c>
      <c r="F287" s="53">
        <v>4.600016219E9</v>
      </c>
      <c r="G287" s="184" t="s">
        <v>483</v>
      </c>
      <c r="H287" s="184" t="str">
        <f t="shared" si="74"/>
        <v>JERICO</v>
      </c>
      <c r="I287" s="184" t="s">
        <v>78</v>
      </c>
      <c r="J287" s="184" t="s">
        <v>1265</v>
      </c>
      <c r="K287" s="184" t="s">
        <v>1266</v>
      </c>
      <c r="L287" s="184">
        <v>4.0</v>
      </c>
      <c r="M287" s="100">
        <v>1800.0</v>
      </c>
      <c r="N287" s="187">
        <v>0.0</v>
      </c>
      <c r="O287" s="113">
        <v>6.37170785E8</v>
      </c>
      <c r="P287" s="113"/>
      <c r="Q287" s="188">
        <f t="shared" si="2"/>
        <v>637170785</v>
      </c>
      <c r="R287" s="189">
        <v>0.0</v>
      </c>
      <c r="S287" s="189">
        <v>0.0</v>
      </c>
      <c r="T287" s="190">
        <f t="shared" si="3"/>
        <v>637170785</v>
      </c>
      <c r="U287" s="221" t="s">
        <v>220</v>
      </c>
      <c r="V287" s="221" t="s">
        <v>220</v>
      </c>
      <c r="W287" s="192"/>
      <c r="X287" s="193">
        <v>45114.0</v>
      </c>
      <c r="Y287" s="193">
        <v>45298.0</v>
      </c>
      <c r="Z287" s="194">
        <v>0.0</v>
      </c>
      <c r="AA287" s="194">
        <v>0.0</v>
      </c>
      <c r="AB287" s="193">
        <v>45298.0</v>
      </c>
      <c r="AC287" s="66">
        <f t="shared" si="4"/>
        <v>-989</v>
      </c>
      <c r="AD287" s="55"/>
      <c r="AE287" s="55"/>
      <c r="AF287" s="55"/>
      <c r="AG287" s="55"/>
      <c r="AH287" s="95">
        <f t="shared" si="40"/>
        <v>0</v>
      </c>
      <c r="AI287" s="178">
        <v>0.0</v>
      </c>
      <c r="AJ287" s="88">
        <f t="shared" si="75"/>
        <v>0</v>
      </c>
      <c r="AK287" s="280"/>
      <c r="AL287" s="280"/>
      <c r="AM287" s="280"/>
      <c r="AN287" s="280"/>
      <c r="AO287" s="280">
        <v>0.0</v>
      </c>
      <c r="AP287" s="178">
        <v>1800.0</v>
      </c>
      <c r="AQ287" s="280">
        <v>0.0</v>
      </c>
      <c r="AR287" s="113">
        <f t="shared" si="72"/>
        <v>637170785</v>
      </c>
      <c r="AS287" s="113">
        <v>6.37170785E8</v>
      </c>
      <c r="AT287" s="198">
        <f t="shared" si="73"/>
        <v>1</v>
      </c>
      <c r="AU287" s="198">
        <f t="shared" si="23"/>
        <v>1</v>
      </c>
      <c r="AV287" s="462" t="s">
        <v>1267</v>
      </c>
      <c r="AW287" s="74"/>
      <c r="AX287" s="75"/>
      <c r="AY287" s="215"/>
      <c r="AZ287" s="210"/>
      <c r="BA287" s="210"/>
      <c r="BB287" s="219"/>
      <c r="BC287" s="77"/>
      <c r="BD287" s="210"/>
      <c r="BE287" s="117"/>
      <c r="BF287" s="199"/>
      <c r="BG287" s="199"/>
      <c r="BH287" s="199"/>
    </row>
    <row r="288" ht="104.25" customHeight="1">
      <c r="A288" s="50">
        <v>287.0</v>
      </c>
      <c r="B288" s="51">
        <v>2023.0</v>
      </c>
      <c r="C288" s="184" t="s">
        <v>90</v>
      </c>
      <c r="D288" s="52" t="s">
        <v>74</v>
      </c>
      <c r="E288" s="184" t="s">
        <v>1261</v>
      </c>
      <c r="F288" s="53">
        <v>4.600016237E9</v>
      </c>
      <c r="G288" s="184" t="s">
        <v>1191</v>
      </c>
      <c r="H288" s="184" t="str">
        <f t="shared" si="74"/>
        <v>VALDIVIA</v>
      </c>
      <c r="I288" s="184" t="s">
        <v>174</v>
      </c>
      <c r="J288" s="184" t="s">
        <v>1268</v>
      </c>
      <c r="K288" s="184" t="s">
        <v>1269</v>
      </c>
      <c r="L288" s="184">
        <v>4.0</v>
      </c>
      <c r="M288" s="100">
        <v>1400.0</v>
      </c>
      <c r="N288" s="187">
        <v>0.0</v>
      </c>
      <c r="O288" s="113">
        <v>4.0E8</v>
      </c>
      <c r="P288" s="113"/>
      <c r="Q288" s="188">
        <f t="shared" si="2"/>
        <v>400000000</v>
      </c>
      <c r="R288" s="189">
        <v>0.0</v>
      </c>
      <c r="S288" s="189">
        <v>0.0</v>
      </c>
      <c r="T288" s="190">
        <f t="shared" si="3"/>
        <v>400000000</v>
      </c>
      <c r="U288" s="221" t="s">
        <v>220</v>
      </c>
      <c r="V288" s="221" t="s">
        <v>220</v>
      </c>
      <c r="W288" s="192"/>
      <c r="X288" s="193">
        <v>45117.0</v>
      </c>
      <c r="Y288" s="193">
        <v>45301.0</v>
      </c>
      <c r="Z288" s="194">
        <v>0.0</v>
      </c>
      <c r="AA288" s="194">
        <v>0.0</v>
      </c>
      <c r="AB288" s="193">
        <v>45301.0</v>
      </c>
      <c r="AC288" s="66">
        <f t="shared" si="4"/>
        <v>-986</v>
      </c>
      <c r="AD288" s="55"/>
      <c r="AE288" s="55"/>
      <c r="AF288" s="55"/>
      <c r="AG288" s="55"/>
      <c r="AH288" s="86">
        <f t="shared" si="40"/>
        <v>0</v>
      </c>
      <c r="AI288" s="178">
        <v>0.0</v>
      </c>
      <c r="AJ288" s="88">
        <f t="shared" si="75"/>
        <v>0</v>
      </c>
      <c r="AK288" s="280"/>
      <c r="AL288" s="280"/>
      <c r="AM288" s="280"/>
      <c r="AN288" s="280"/>
      <c r="AO288" s="280">
        <v>0.0</v>
      </c>
      <c r="AP288" s="178">
        <v>0.0</v>
      </c>
      <c r="AQ288" s="280">
        <v>0.0</v>
      </c>
      <c r="AR288" s="113">
        <f t="shared" si="72"/>
        <v>400000000</v>
      </c>
      <c r="AS288" s="113">
        <v>0.0</v>
      </c>
      <c r="AT288" s="198">
        <f t="shared" si="73"/>
        <v>0</v>
      </c>
      <c r="AU288" s="198">
        <f t="shared" si="23"/>
        <v>0</v>
      </c>
      <c r="AV288" s="462" t="s">
        <v>1270</v>
      </c>
      <c r="AW288" s="74"/>
      <c r="AX288" s="75"/>
      <c r="AY288" s="215"/>
      <c r="AZ288" s="210"/>
      <c r="BA288" s="210"/>
      <c r="BB288" s="219"/>
      <c r="BC288" s="77"/>
      <c r="BD288" s="210"/>
      <c r="BE288" s="117"/>
      <c r="BF288" s="199"/>
      <c r="BG288" s="199"/>
      <c r="BH288" s="199"/>
    </row>
    <row r="289" ht="104.25" customHeight="1">
      <c r="A289" s="21">
        <v>288.0</v>
      </c>
      <c r="B289" s="22">
        <v>2023.0</v>
      </c>
      <c r="C289" s="23" t="s">
        <v>90</v>
      </c>
      <c r="D289" s="24" t="s">
        <v>74</v>
      </c>
      <c r="E289" s="23" t="s">
        <v>1261</v>
      </c>
      <c r="F289" s="25">
        <v>4.60001622E9</v>
      </c>
      <c r="G289" s="23" t="s">
        <v>1271</v>
      </c>
      <c r="H289" s="23" t="str">
        <f t="shared" si="74"/>
        <v>ITUANGO</v>
      </c>
      <c r="I289" s="23" t="s">
        <v>174</v>
      </c>
      <c r="J289" s="23" t="s">
        <v>1268</v>
      </c>
      <c r="K289" s="23" t="s">
        <v>1272</v>
      </c>
      <c r="L289" s="23">
        <v>10.0</v>
      </c>
      <c r="M289" s="173">
        <v>1400.0</v>
      </c>
      <c r="N289" s="162">
        <v>0.0</v>
      </c>
      <c r="O289" s="82">
        <v>1.361696674E9</v>
      </c>
      <c r="P289" s="82"/>
      <c r="Q289" s="163">
        <f t="shared" si="2"/>
        <v>1361696674</v>
      </c>
      <c r="R289" s="164">
        <v>0.0</v>
      </c>
      <c r="S289" s="164">
        <v>0.0</v>
      </c>
      <c r="T289" s="165">
        <f t="shared" si="3"/>
        <v>1361696674</v>
      </c>
      <c r="U289" s="83" t="s">
        <v>64</v>
      </c>
      <c r="V289" s="83" t="s">
        <v>64</v>
      </c>
      <c r="W289" s="175"/>
      <c r="X289" s="176">
        <v>45117.0</v>
      </c>
      <c r="Y289" s="176">
        <v>45433.0</v>
      </c>
      <c r="Z289" s="177">
        <v>0.0</v>
      </c>
      <c r="AA289" s="177">
        <v>0.0</v>
      </c>
      <c r="AB289" s="176">
        <v>45433.0</v>
      </c>
      <c r="AC289" s="38">
        <f t="shared" si="4"/>
        <v>-854</v>
      </c>
      <c r="AD289" s="27"/>
      <c r="AE289" s="27"/>
      <c r="AF289" s="27"/>
      <c r="AG289" s="27"/>
      <c r="AH289" s="86">
        <f t="shared" si="40"/>
        <v>0</v>
      </c>
      <c r="AI289" s="178">
        <v>0.0</v>
      </c>
      <c r="AJ289" s="88">
        <f t="shared" si="75"/>
        <v>0</v>
      </c>
      <c r="AK289" s="211"/>
      <c r="AL289" s="211"/>
      <c r="AM289" s="211"/>
      <c r="AN289" s="211"/>
      <c r="AO289" s="211">
        <v>0.0</v>
      </c>
      <c r="AP289" s="178">
        <v>0.0</v>
      </c>
      <c r="AQ289" s="211">
        <v>0.0</v>
      </c>
      <c r="AR289" s="82">
        <f t="shared" si="72"/>
        <v>1361696674</v>
      </c>
      <c r="AS289" s="82">
        <v>1.361696674E9</v>
      </c>
      <c r="AT289" s="171">
        <f t="shared" si="73"/>
        <v>0</v>
      </c>
      <c r="AU289" s="171">
        <f t="shared" si="23"/>
        <v>1</v>
      </c>
      <c r="AV289" s="120" t="s">
        <v>1273</v>
      </c>
      <c r="AW289" s="91"/>
      <c r="AX289" s="43"/>
      <c r="AY289" s="42"/>
      <c r="AZ289" s="44"/>
      <c r="BA289" s="44"/>
      <c r="BB289" s="45"/>
      <c r="BC289" s="46"/>
      <c r="BD289" s="44"/>
      <c r="BE289" s="47"/>
      <c r="BF289" s="99"/>
      <c r="BG289" s="99"/>
      <c r="BH289" s="99"/>
    </row>
    <row r="290" ht="104.25" customHeight="1">
      <c r="A290" s="21">
        <v>289.0</v>
      </c>
      <c r="B290" s="22">
        <v>2023.0</v>
      </c>
      <c r="C290" s="23" t="s">
        <v>90</v>
      </c>
      <c r="D290" s="24" t="s">
        <v>74</v>
      </c>
      <c r="E290" s="23" t="s">
        <v>1261</v>
      </c>
      <c r="F290" s="25">
        <v>4.600016235E9</v>
      </c>
      <c r="G290" s="23" t="s">
        <v>1274</v>
      </c>
      <c r="H290" s="23" t="str">
        <f t="shared" si="74"/>
        <v>MURINDÓ</v>
      </c>
      <c r="I290" s="23" t="s">
        <v>61</v>
      </c>
      <c r="J290" s="23" t="s">
        <v>1275</v>
      </c>
      <c r="K290" s="23" t="s">
        <v>1276</v>
      </c>
      <c r="L290" s="23">
        <v>8.0</v>
      </c>
      <c r="M290" s="173">
        <v>3000.0</v>
      </c>
      <c r="N290" s="162">
        <v>0.0</v>
      </c>
      <c r="O290" s="82">
        <v>2.361E9</v>
      </c>
      <c r="P290" s="82"/>
      <c r="Q290" s="163">
        <f t="shared" si="2"/>
        <v>2361000000</v>
      </c>
      <c r="R290" s="164">
        <v>0.0</v>
      </c>
      <c r="S290" s="164">
        <v>0.0</v>
      </c>
      <c r="T290" s="165">
        <f t="shared" si="3"/>
        <v>2361000000</v>
      </c>
      <c r="U290" s="83" t="s">
        <v>64</v>
      </c>
      <c r="V290" s="83" t="s">
        <v>387</v>
      </c>
      <c r="W290" s="175"/>
      <c r="X290" s="176">
        <v>45131.0</v>
      </c>
      <c r="Y290" s="176">
        <v>45375.0</v>
      </c>
      <c r="Z290" s="177">
        <v>0.0</v>
      </c>
      <c r="AA290" s="177">
        <v>4.5</v>
      </c>
      <c r="AB290" s="176">
        <v>45979.0</v>
      </c>
      <c r="AC290" s="38">
        <f t="shared" si="4"/>
        <v>-308</v>
      </c>
      <c r="AD290" s="27"/>
      <c r="AE290" s="27">
        <v>960.0</v>
      </c>
      <c r="AF290" s="27">
        <v>1230.0</v>
      </c>
      <c r="AG290" s="27"/>
      <c r="AH290" s="95">
        <f t="shared" si="40"/>
        <v>2190</v>
      </c>
      <c r="AI290" s="173">
        <v>2190.0</v>
      </c>
      <c r="AJ290" s="88">
        <f t="shared" si="75"/>
        <v>0</v>
      </c>
      <c r="AK290" s="211"/>
      <c r="AL290" s="211"/>
      <c r="AM290" s="211"/>
      <c r="AN290" s="211"/>
      <c r="AO290" s="211">
        <v>0.0</v>
      </c>
      <c r="AP290" s="178">
        <v>2490.0</v>
      </c>
      <c r="AQ290" s="211">
        <v>0.0</v>
      </c>
      <c r="AR290" s="82">
        <f t="shared" si="72"/>
        <v>2361000000</v>
      </c>
      <c r="AS290" s="82">
        <v>2.361E9</v>
      </c>
      <c r="AT290" s="171">
        <f t="shared" si="73"/>
        <v>0.83</v>
      </c>
      <c r="AU290" s="171">
        <f t="shared" si="23"/>
        <v>1</v>
      </c>
      <c r="AV290" s="120" t="s">
        <v>1277</v>
      </c>
      <c r="AW290" s="91"/>
      <c r="AX290" s="43"/>
      <c r="AY290" s="42"/>
      <c r="AZ290" s="44"/>
      <c r="BA290" s="44"/>
      <c r="BB290" s="45"/>
      <c r="BC290" s="46"/>
      <c r="BD290" s="44"/>
      <c r="BE290" s="47"/>
      <c r="BF290" s="99"/>
      <c r="BG290" s="99"/>
      <c r="BH290" s="99"/>
    </row>
    <row r="291" ht="104.25" customHeight="1">
      <c r="A291" s="50">
        <v>290.0</v>
      </c>
      <c r="B291" s="51">
        <v>2025.0</v>
      </c>
      <c r="C291" s="184" t="s">
        <v>1278</v>
      </c>
      <c r="D291" s="52" t="s">
        <v>1279</v>
      </c>
      <c r="E291" s="184" t="s">
        <v>59</v>
      </c>
      <c r="F291" s="53">
        <v>4.600018621E9</v>
      </c>
      <c r="G291" s="184"/>
      <c r="H291" s="184" t="s">
        <v>1280</v>
      </c>
      <c r="I291" s="184"/>
      <c r="J291" s="184" t="s">
        <v>1281</v>
      </c>
      <c r="K291" s="184" t="s">
        <v>1282</v>
      </c>
      <c r="L291" s="184">
        <v>9.0</v>
      </c>
      <c r="M291" s="100">
        <v>220000.0</v>
      </c>
      <c r="N291" s="187">
        <v>0.0</v>
      </c>
      <c r="O291" s="113">
        <v>2.3E10</v>
      </c>
      <c r="P291" s="113"/>
      <c r="Q291" s="188">
        <f t="shared" si="2"/>
        <v>23000000000</v>
      </c>
      <c r="R291" s="114">
        <v>1.4145E10</v>
      </c>
      <c r="S291" s="189">
        <v>0.0</v>
      </c>
      <c r="T291" s="190">
        <f t="shared" si="3"/>
        <v>37145000000</v>
      </c>
      <c r="U291" s="221" t="s">
        <v>64</v>
      </c>
      <c r="V291" s="221" t="s">
        <v>64</v>
      </c>
      <c r="W291" s="192"/>
      <c r="X291" s="193">
        <v>45980.0</v>
      </c>
      <c r="Y291" s="193">
        <v>46253.0</v>
      </c>
      <c r="Z291" s="194">
        <v>3.0</v>
      </c>
      <c r="AA291" s="194">
        <v>0.0</v>
      </c>
      <c r="AB291" s="193">
        <v>46253.0</v>
      </c>
      <c r="AC291" s="66">
        <f t="shared" si="4"/>
        <v>-34</v>
      </c>
      <c r="AD291" s="55"/>
      <c r="AE291" s="55"/>
      <c r="AF291" s="55"/>
      <c r="AG291" s="55"/>
      <c r="AH291" s="86">
        <f t="shared" si="40"/>
        <v>0</v>
      </c>
      <c r="AI291" s="100">
        <f t="shared" ref="AI291:AI292" si="76">M291</f>
        <v>220000</v>
      </c>
      <c r="AJ291" s="280"/>
      <c r="AK291" s="280"/>
      <c r="AL291" s="280"/>
      <c r="AM291" s="280"/>
      <c r="AN291" s="280"/>
      <c r="AO291" s="280">
        <v>0.0</v>
      </c>
      <c r="AP291" s="178">
        <f t="shared" ref="AP291:AP292" si="77">M291</f>
        <v>220000</v>
      </c>
      <c r="AQ291" s="280">
        <v>0.0</v>
      </c>
      <c r="AR291" s="113">
        <f t="shared" ref="AR291:AR292" si="78">T291</f>
        <v>37145000000</v>
      </c>
      <c r="AS291" s="113">
        <v>3.2219534409E10</v>
      </c>
      <c r="AT291" s="224">
        <f t="shared" si="73"/>
        <v>1</v>
      </c>
      <c r="AU291" s="224">
        <f t="shared" si="23"/>
        <v>0.8673989611</v>
      </c>
      <c r="AV291" s="462" t="s">
        <v>1283</v>
      </c>
      <c r="AW291" s="74"/>
      <c r="AX291" s="75"/>
      <c r="AY291" s="215"/>
      <c r="AZ291" s="210"/>
      <c r="BA291" s="210"/>
      <c r="BB291" s="219"/>
      <c r="BC291" s="77"/>
      <c r="BD291" s="210"/>
      <c r="BE291" s="117"/>
      <c r="BF291" s="199"/>
      <c r="BG291" s="199"/>
      <c r="BH291" s="199"/>
    </row>
    <row r="292" ht="104.25" customHeight="1">
      <c r="A292" s="50">
        <v>291.0</v>
      </c>
      <c r="B292" s="51">
        <v>2025.0</v>
      </c>
      <c r="C292" s="184" t="s">
        <v>1278</v>
      </c>
      <c r="D292" s="52" t="s">
        <v>1279</v>
      </c>
      <c r="E292" s="184" t="s">
        <v>59</v>
      </c>
      <c r="F292" s="53">
        <v>4.600017996E9</v>
      </c>
      <c r="G292" s="184"/>
      <c r="H292" s="184" t="s">
        <v>1280</v>
      </c>
      <c r="I292" s="184"/>
      <c r="J292" s="184" t="s">
        <v>1281</v>
      </c>
      <c r="K292" s="184" t="s">
        <v>1282</v>
      </c>
      <c r="L292" s="184">
        <v>6.7</v>
      </c>
      <c r="M292" s="100">
        <v>621280.0</v>
      </c>
      <c r="N292" s="187">
        <v>0.0</v>
      </c>
      <c r="O292" s="113">
        <v>1.05E10</v>
      </c>
      <c r="P292" s="113"/>
      <c r="Q292" s="188">
        <f t="shared" si="2"/>
        <v>10500000000</v>
      </c>
      <c r="R292" s="114">
        <v>8.0E9</v>
      </c>
      <c r="S292" s="189">
        <v>0.0</v>
      </c>
      <c r="T292" s="190">
        <f t="shared" si="3"/>
        <v>18500000000</v>
      </c>
      <c r="U292" s="221" t="s">
        <v>64</v>
      </c>
      <c r="V292" s="221" t="s">
        <v>64</v>
      </c>
      <c r="W292" s="192"/>
      <c r="X292" s="193">
        <v>45775.0</v>
      </c>
      <c r="Y292" s="193">
        <v>45979.0</v>
      </c>
      <c r="Z292" s="194">
        <v>3.0</v>
      </c>
      <c r="AA292" s="194">
        <v>0.0</v>
      </c>
      <c r="AB292" s="193">
        <v>45979.0</v>
      </c>
      <c r="AC292" s="66">
        <f t="shared" si="4"/>
        <v>-308</v>
      </c>
      <c r="AD292" s="55"/>
      <c r="AE292" s="55"/>
      <c r="AF292" s="55"/>
      <c r="AG292" s="55"/>
      <c r="AH292" s="86">
        <f t="shared" si="40"/>
        <v>0</v>
      </c>
      <c r="AI292" s="100">
        <f t="shared" si="76"/>
        <v>621280</v>
      </c>
      <c r="AJ292" s="280"/>
      <c r="AK292" s="280"/>
      <c r="AL292" s="280"/>
      <c r="AM292" s="280"/>
      <c r="AN292" s="280"/>
      <c r="AO292" s="280">
        <v>0.0</v>
      </c>
      <c r="AP292" s="178">
        <f t="shared" si="77"/>
        <v>621280</v>
      </c>
      <c r="AQ292" s="280">
        <v>0.0</v>
      </c>
      <c r="AR292" s="113">
        <f t="shared" si="78"/>
        <v>18500000000</v>
      </c>
      <c r="AS292" s="113">
        <v>1.8E10</v>
      </c>
      <c r="AT292" s="224">
        <f t="shared" si="73"/>
        <v>1</v>
      </c>
      <c r="AU292" s="224">
        <f t="shared" si="23"/>
        <v>0.972972973</v>
      </c>
      <c r="AV292" s="462" t="s">
        <v>1283</v>
      </c>
      <c r="AW292" s="74"/>
      <c r="AX292" s="75"/>
      <c r="AY292" s="215"/>
      <c r="AZ292" s="210"/>
      <c r="BA292" s="210"/>
      <c r="BB292" s="219"/>
      <c r="BC292" s="77"/>
      <c r="BD292" s="210"/>
      <c r="BE292" s="117"/>
      <c r="BF292" s="199"/>
      <c r="BG292" s="199"/>
      <c r="BH292" s="199"/>
    </row>
    <row r="293" ht="104.25" customHeight="1">
      <c r="A293" s="50">
        <v>292.0</v>
      </c>
      <c r="B293" s="463">
        <v>2024.0</v>
      </c>
      <c r="C293" s="464" t="s">
        <v>1255</v>
      </c>
      <c r="D293" s="465" t="s">
        <v>74</v>
      </c>
      <c r="E293" s="464" t="s">
        <v>1256</v>
      </c>
      <c r="F293" s="53">
        <v>2.024003050246E12</v>
      </c>
      <c r="G293" s="184" t="s">
        <v>92</v>
      </c>
      <c r="H293" s="184" t="s">
        <v>92</v>
      </c>
      <c r="I293" s="184" t="s">
        <v>104</v>
      </c>
      <c r="J293" s="184" t="s">
        <v>1284</v>
      </c>
      <c r="K293" s="184" t="s">
        <v>1259</v>
      </c>
      <c r="L293" s="184">
        <v>8.0</v>
      </c>
      <c r="M293" s="100">
        <v>2000.0</v>
      </c>
      <c r="N293" s="187">
        <v>0.0</v>
      </c>
      <c r="O293" s="113">
        <v>0.0</v>
      </c>
      <c r="P293" s="113">
        <v>0.0</v>
      </c>
      <c r="Q293" s="188">
        <f t="shared" si="2"/>
        <v>0</v>
      </c>
      <c r="R293" s="189">
        <v>0.0</v>
      </c>
      <c r="S293" s="189">
        <v>0.0</v>
      </c>
      <c r="T293" s="190">
        <f t="shared" si="3"/>
        <v>0</v>
      </c>
      <c r="U293" s="221" t="s">
        <v>220</v>
      </c>
      <c r="V293" s="221" t="s">
        <v>220</v>
      </c>
      <c r="W293" s="192"/>
      <c r="X293" s="193">
        <v>45637.0</v>
      </c>
      <c r="Y293" s="193">
        <v>45992.0</v>
      </c>
      <c r="Z293" s="194">
        <v>0.0</v>
      </c>
      <c r="AA293" s="194">
        <v>0.0</v>
      </c>
      <c r="AB293" s="193">
        <v>45992.0</v>
      </c>
      <c r="AC293" s="66">
        <f t="shared" si="4"/>
        <v>-295</v>
      </c>
      <c r="AD293" s="55"/>
      <c r="AE293" s="55"/>
      <c r="AF293" s="55"/>
      <c r="AG293" s="55"/>
      <c r="AH293" s="86">
        <f t="shared" si="40"/>
        <v>0</v>
      </c>
      <c r="AI293" s="100">
        <v>2000.0</v>
      </c>
      <c r="AJ293" s="280"/>
      <c r="AK293" s="280"/>
      <c r="AL293" s="280"/>
      <c r="AM293" s="280"/>
      <c r="AN293" s="280"/>
      <c r="AO293" s="280">
        <v>0.0</v>
      </c>
      <c r="AP293" s="178">
        <v>2000.0</v>
      </c>
      <c r="AQ293" s="280">
        <v>0.0</v>
      </c>
      <c r="AR293" s="113">
        <f t="shared" ref="AR293:AR360" si="79">O293</f>
        <v>0</v>
      </c>
      <c r="AS293" s="113">
        <v>0.0</v>
      </c>
      <c r="AT293" s="224">
        <f t="shared" si="73"/>
        <v>1</v>
      </c>
      <c r="AU293" s="224" t="str">
        <f t="shared" si="23"/>
        <v>#DIV/0!</v>
      </c>
      <c r="AV293" s="184"/>
      <c r="AW293" s="74"/>
      <c r="AX293" s="214"/>
      <c r="AY293" s="215"/>
      <c r="AZ293" s="210"/>
      <c r="BA293" s="210"/>
      <c r="BB293" s="219"/>
      <c r="BC293" s="77"/>
      <c r="BD293" s="210"/>
      <c r="BE293" s="117"/>
      <c r="BF293" s="199"/>
      <c r="BG293" s="199"/>
      <c r="BH293" s="199"/>
    </row>
    <row r="294" ht="104.25" customHeight="1">
      <c r="A294" s="50">
        <v>293.0</v>
      </c>
      <c r="B294" s="463">
        <v>2024.0</v>
      </c>
      <c r="C294" s="464" t="s">
        <v>1255</v>
      </c>
      <c r="D294" s="465" t="s">
        <v>74</v>
      </c>
      <c r="E294" s="464" t="s">
        <v>1256</v>
      </c>
      <c r="F294" s="53">
        <v>2.024003050243E12</v>
      </c>
      <c r="G294" s="184" t="s">
        <v>230</v>
      </c>
      <c r="H294" s="184" t="s">
        <v>230</v>
      </c>
      <c r="I294" s="184" t="s">
        <v>120</v>
      </c>
      <c r="J294" s="184" t="s">
        <v>1285</v>
      </c>
      <c r="K294" s="184"/>
      <c r="L294" s="184">
        <v>8.0</v>
      </c>
      <c r="M294" s="100">
        <v>2000.0</v>
      </c>
      <c r="N294" s="187">
        <v>0.0</v>
      </c>
      <c r="O294" s="113">
        <v>0.0</v>
      </c>
      <c r="P294" s="113">
        <v>0.0</v>
      </c>
      <c r="Q294" s="188">
        <f t="shared" si="2"/>
        <v>0</v>
      </c>
      <c r="R294" s="189">
        <v>0.0</v>
      </c>
      <c r="S294" s="189">
        <v>0.0</v>
      </c>
      <c r="T294" s="190">
        <f t="shared" si="3"/>
        <v>0</v>
      </c>
      <c r="U294" s="221" t="s">
        <v>220</v>
      </c>
      <c r="V294" s="221" t="s">
        <v>220</v>
      </c>
      <c r="W294" s="192"/>
      <c r="X294" s="193">
        <v>45635.0</v>
      </c>
      <c r="Y294" s="193">
        <v>45982.0</v>
      </c>
      <c r="Z294" s="194">
        <v>0.0</v>
      </c>
      <c r="AA294" s="194">
        <v>0.0</v>
      </c>
      <c r="AB294" s="193">
        <v>45982.0</v>
      </c>
      <c r="AC294" s="66">
        <f t="shared" si="4"/>
        <v>-305</v>
      </c>
      <c r="AD294" s="55"/>
      <c r="AE294" s="55"/>
      <c r="AF294" s="55"/>
      <c r="AG294" s="55"/>
      <c r="AH294" s="86">
        <f t="shared" si="40"/>
        <v>0</v>
      </c>
      <c r="AI294" s="100">
        <f t="shared" ref="AI294:AI350" si="80">M294</f>
        <v>2000</v>
      </c>
      <c r="AJ294" s="280"/>
      <c r="AK294" s="280"/>
      <c r="AL294" s="280"/>
      <c r="AM294" s="280"/>
      <c r="AN294" s="280"/>
      <c r="AO294" s="280">
        <v>0.0</v>
      </c>
      <c r="AP294" s="178">
        <f t="shared" ref="AP294:AP350" si="81">AI294</f>
        <v>2000</v>
      </c>
      <c r="AQ294" s="280">
        <v>0.0</v>
      </c>
      <c r="AR294" s="113">
        <f t="shared" si="79"/>
        <v>0</v>
      </c>
      <c r="AS294" s="113">
        <v>0.0</v>
      </c>
      <c r="AT294" s="224">
        <f t="shared" si="73"/>
        <v>1</v>
      </c>
      <c r="AU294" s="224" t="str">
        <f t="shared" si="23"/>
        <v>#DIV/0!</v>
      </c>
      <c r="AV294" s="184"/>
      <c r="AW294" s="74"/>
      <c r="AX294" s="214"/>
      <c r="AY294" s="215"/>
      <c r="AZ294" s="210"/>
      <c r="BA294" s="210"/>
      <c r="BB294" s="219"/>
      <c r="BC294" s="77"/>
      <c r="BD294" s="210"/>
      <c r="BE294" s="117"/>
      <c r="BF294" s="199"/>
      <c r="BG294" s="199"/>
      <c r="BH294" s="199"/>
    </row>
    <row r="295" ht="104.25" customHeight="1">
      <c r="A295" s="50">
        <v>294.0</v>
      </c>
      <c r="B295" s="463">
        <v>2024.0</v>
      </c>
      <c r="C295" s="464" t="s">
        <v>1255</v>
      </c>
      <c r="D295" s="465" t="s">
        <v>74</v>
      </c>
      <c r="E295" s="464" t="s">
        <v>1256</v>
      </c>
      <c r="F295" s="53">
        <v>2.024053150037E12</v>
      </c>
      <c r="G295" s="184" t="s">
        <v>1286</v>
      </c>
      <c r="H295" s="184" t="s">
        <v>1286</v>
      </c>
      <c r="I295" s="184" t="s">
        <v>174</v>
      </c>
      <c r="J295" s="184" t="s">
        <v>1287</v>
      </c>
      <c r="K295" s="184"/>
      <c r="L295" s="184">
        <v>8.0</v>
      </c>
      <c r="M295" s="100">
        <v>1866.0</v>
      </c>
      <c r="N295" s="187">
        <v>0.0</v>
      </c>
      <c r="O295" s="113">
        <v>0.0</v>
      </c>
      <c r="P295" s="113">
        <v>0.0</v>
      </c>
      <c r="Q295" s="188">
        <f t="shared" si="2"/>
        <v>0</v>
      </c>
      <c r="R295" s="189">
        <v>0.0</v>
      </c>
      <c r="S295" s="189">
        <v>0.0</v>
      </c>
      <c r="T295" s="190">
        <f t="shared" si="3"/>
        <v>0</v>
      </c>
      <c r="U295" s="221" t="s">
        <v>220</v>
      </c>
      <c r="V295" s="221" t="s">
        <v>220</v>
      </c>
      <c r="W295" s="192"/>
      <c r="X295" s="193">
        <v>45635.0</v>
      </c>
      <c r="Y295" s="193">
        <v>45838.0</v>
      </c>
      <c r="Z295" s="194">
        <v>0.0</v>
      </c>
      <c r="AA295" s="194">
        <v>0.0</v>
      </c>
      <c r="AB295" s="193">
        <v>45838.0</v>
      </c>
      <c r="AC295" s="66">
        <f t="shared" si="4"/>
        <v>-449</v>
      </c>
      <c r="AD295" s="55"/>
      <c r="AE295" s="55"/>
      <c r="AF295" s="55"/>
      <c r="AG295" s="55"/>
      <c r="AH295" s="86">
        <f t="shared" si="40"/>
        <v>0</v>
      </c>
      <c r="AI295" s="100">
        <f t="shared" si="80"/>
        <v>1866</v>
      </c>
      <c r="AJ295" s="280"/>
      <c r="AK295" s="280"/>
      <c r="AL295" s="280"/>
      <c r="AM295" s="280"/>
      <c r="AN295" s="280"/>
      <c r="AO295" s="280">
        <v>0.0</v>
      </c>
      <c r="AP295" s="178">
        <f t="shared" si="81"/>
        <v>1866</v>
      </c>
      <c r="AQ295" s="280">
        <v>0.0</v>
      </c>
      <c r="AR295" s="113">
        <f t="shared" si="79"/>
        <v>0</v>
      </c>
      <c r="AS295" s="113">
        <v>0.0</v>
      </c>
      <c r="AT295" s="224">
        <f t="shared" si="73"/>
        <v>1</v>
      </c>
      <c r="AU295" s="224" t="str">
        <f t="shared" si="23"/>
        <v>#DIV/0!</v>
      </c>
      <c r="AV295" s="184"/>
      <c r="AW295" s="74"/>
      <c r="AX295" s="214"/>
      <c r="AY295" s="215"/>
      <c r="AZ295" s="210"/>
      <c r="BA295" s="210"/>
      <c r="BB295" s="219"/>
      <c r="BC295" s="77"/>
      <c r="BD295" s="210"/>
      <c r="BE295" s="117"/>
      <c r="BF295" s="199"/>
      <c r="BG295" s="199"/>
      <c r="BH295" s="199"/>
    </row>
    <row r="296" ht="104.25" customHeight="1">
      <c r="A296" s="50">
        <v>295.0</v>
      </c>
      <c r="B296" s="463">
        <v>2024.0</v>
      </c>
      <c r="C296" s="464" t="s">
        <v>1255</v>
      </c>
      <c r="D296" s="465" t="s">
        <v>74</v>
      </c>
      <c r="E296" s="464" t="s">
        <v>1256</v>
      </c>
      <c r="F296" s="53">
        <v>2.024003050241E12</v>
      </c>
      <c r="G296" s="184" t="s">
        <v>1288</v>
      </c>
      <c r="H296" s="184" t="str">
        <f t="shared" ref="H296:H313" si="82">G296</f>
        <v>AMALFI</v>
      </c>
      <c r="I296" s="184" t="s">
        <v>174</v>
      </c>
      <c r="J296" s="184" t="s">
        <v>1289</v>
      </c>
      <c r="K296" s="184"/>
      <c r="L296" s="184">
        <v>8.0</v>
      </c>
      <c r="M296" s="100">
        <v>2000.0</v>
      </c>
      <c r="N296" s="187">
        <v>0.0</v>
      </c>
      <c r="O296" s="113">
        <v>0.0</v>
      </c>
      <c r="P296" s="113">
        <v>0.0</v>
      </c>
      <c r="Q296" s="188">
        <f t="shared" si="2"/>
        <v>0</v>
      </c>
      <c r="R296" s="189">
        <v>0.0</v>
      </c>
      <c r="S296" s="189">
        <v>0.0</v>
      </c>
      <c r="T296" s="190">
        <f t="shared" si="3"/>
        <v>0</v>
      </c>
      <c r="U296" s="221" t="s">
        <v>387</v>
      </c>
      <c r="V296" s="221" t="s">
        <v>387</v>
      </c>
      <c r="W296" s="192"/>
      <c r="X296" s="193">
        <v>45636.0</v>
      </c>
      <c r="Y296" s="193">
        <v>45838.0</v>
      </c>
      <c r="Z296" s="194">
        <v>0.0</v>
      </c>
      <c r="AA296" s="194">
        <v>0.0</v>
      </c>
      <c r="AB296" s="193">
        <f t="shared" ref="AB296:AB350" si="83">Y296</f>
        <v>45838</v>
      </c>
      <c r="AC296" s="66">
        <f t="shared" si="4"/>
        <v>-449</v>
      </c>
      <c r="AD296" s="55"/>
      <c r="AE296" s="55"/>
      <c r="AF296" s="55"/>
      <c r="AG296" s="55"/>
      <c r="AH296" s="86">
        <f t="shared" si="40"/>
        <v>0</v>
      </c>
      <c r="AI296" s="100">
        <f t="shared" si="80"/>
        <v>2000</v>
      </c>
      <c r="AJ296" s="280"/>
      <c r="AK296" s="280"/>
      <c r="AL296" s="280"/>
      <c r="AM296" s="280"/>
      <c r="AN296" s="280"/>
      <c r="AO296" s="280">
        <v>0.0</v>
      </c>
      <c r="AP296" s="178">
        <f t="shared" si="81"/>
        <v>2000</v>
      </c>
      <c r="AQ296" s="280">
        <v>0.0</v>
      </c>
      <c r="AR296" s="113">
        <f t="shared" si="79"/>
        <v>0</v>
      </c>
      <c r="AS296" s="113">
        <v>0.0</v>
      </c>
      <c r="AT296" s="224">
        <f t="shared" si="73"/>
        <v>1</v>
      </c>
      <c r="AU296" s="224" t="str">
        <f t="shared" si="23"/>
        <v>#DIV/0!</v>
      </c>
      <c r="AV296" s="184"/>
      <c r="AW296" s="74"/>
      <c r="AX296" s="214"/>
      <c r="AY296" s="215"/>
      <c r="AZ296" s="210"/>
      <c r="BA296" s="210"/>
      <c r="BB296" s="219"/>
      <c r="BC296" s="77"/>
      <c r="BD296" s="210"/>
      <c r="BE296" s="117"/>
      <c r="BF296" s="199"/>
      <c r="BG296" s="199"/>
      <c r="BH296" s="199"/>
    </row>
    <row r="297" ht="104.25" customHeight="1">
      <c r="A297" s="50">
        <v>296.0</v>
      </c>
      <c r="B297" s="463">
        <v>2024.0</v>
      </c>
      <c r="C297" s="464" t="s">
        <v>1255</v>
      </c>
      <c r="D297" s="465" t="s">
        <v>74</v>
      </c>
      <c r="E297" s="464" t="s">
        <v>1256</v>
      </c>
      <c r="F297" s="53">
        <v>2.02405107004E12</v>
      </c>
      <c r="G297" s="184" t="s">
        <v>398</v>
      </c>
      <c r="H297" s="184" t="str">
        <f t="shared" si="82"/>
        <v>BRICEÑO</v>
      </c>
      <c r="I297" s="184" t="s">
        <v>174</v>
      </c>
      <c r="J297" s="184" t="s">
        <v>1290</v>
      </c>
      <c r="K297" s="184"/>
      <c r="L297" s="184">
        <v>8.0</v>
      </c>
      <c r="M297" s="100">
        <v>782.0</v>
      </c>
      <c r="N297" s="187">
        <v>0.0</v>
      </c>
      <c r="O297" s="113">
        <v>0.0</v>
      </c>
      <c r="P297" s="113">
        <v>0.0</v>
      </c>
      <c r="Q297" s="188">
        <f t="shared" si="2"/>
        <v>0</v>
      </c>
      <c r="R297" s="189">
        <v>0.0</v>
      </c>
      <c r="S297" s="189">
        <v>0.0</v>
      </c>
      <c r="T297" s="190">
        <f t="shared" si="3"/>
        <v>0</v>
      </c>
      <c r="U297" s="221" t="s">
        <v>220</v>
      </c>
      <c r="V297" s="221" t="s">
        <v>220</v>
      </c>
      <c r="W297" s="192"/>
      <c r="X297" s="193">
        <v>45636.0</v>
      </c>
      <c r="Y297" s="193">
        <v>45759.0</v>
      </c>
      <c r="Z297" s="194">
        <v>0.0</v>
      </c>
      <c r="AA297" s="194">
        <v>0.0</v>
      </c>
      <c r="AB297" s="193">
        <f t="shared" si="83"/>
        <v>45759</v>
      </c>
      <c r="AC297" s="66">
        <f t="shared" si="4"/>
        <v>-528</v>
      </c>
      <c r="AD297" s="55"/>
      <c r="AE297" s="55"/>
      <c r="AF297" s="55"/>
      <c r="AG297" s="55"/>
      <c r="AH297" s="86">
        <f t="shared" si="40"/>
        <v>0</v>
      </c>
      <c r="AI297" s="100">
        <f t="shared" si="80"/>
        <v>782</v>
      </c>
      <c r="AJ297" s="280"/>
      <c r="AK297" s="280"/>
      <c r="AL297" s="280"/>
      <c r="AM297" s="280"/>
      <c r="AN297" s="280"/>
      <c r="AO297" s="280">
        <v>0.0</v>
      </c>
      <c r="AP297" s="178">
        <f t="shared" si="81"/>
        <v>782</v>
      </c>
      <c r="AQ297" s="280">
        <v>0.0</v>
      </c>
      <c r="AR297" s="113">
        <f t="shared" si="79"/>
        <v>0</v>
      </c>
      <c r="AS297" s="113">
        <v>0.0</v>
      </c>
      <c r="AT297" s="224">
        <f t="shared" si="73"/>
        <v>1</v>
      </c>
      <c r="AU297" s="224" t="str">
        <f t="shared" si="23"/>
        <v>#DIV/0!</v>
      </c>
      <c r="AV297" s="184"/>
      <c r="AW297" s="74"/>
      <c r="AX297" s="214"/>
      <c r="AY297" s="215"/>
      <c r="AZ297" s="210"/>
      <c r="BA297" s="210"/>
      <c r="BB297" s="219"/>
      <c r="BC297" s="77"/>
      <c r="BD297" s="210"/>
      <c r="BE297" s="117"/>
      <c r="BF297" s="199"/>
      <c r="BG297" s="199"/>
      <c r="BH297" s="199"/>
    </row>
    <row r="298" ht="104.25" customHeight="1">
      <c r="A298" s="50">
        <v>297.0</v>
      </c>
      <c r="B298" s="463">
        <v>2024.0</v>
      </c>
      <c r="C298" s="464" t="s">
        <v>1255</v>
      </c>
      <c r="D298" s="465" t="s">
        <v>74</v>
      </c>
      <c r="E298" s="464" t="s">
        <v>1256</v>
      </c>
      <c r="F298" s="53">
        <v>2.024057560039E12</v>
      </c>
      <c r="G298" s="184" t="s">
        <v>320</v>
      </c>
      <c r="H298" s="184" t="str">
        <f t="shared" si="82"/>
        <v>SONSÓN</v>
      </c>
      <c r="I298" s="184" t="s">
        <v>120</v>
      </c>
      <c r="J298" s="184" t="s">
        <v>1291</v>
      </c>
      <c r="K298" s="184"/>
      <c r="L298" s="184">
        <v>8.0</v>
      </c>
      <c r="M298" s="100">
        <v>2000.0</v>
      </c>
      <c r="N298" s="187">
        <v>0.0</v>
      </c>
      <c r="O298" s="113">
        <v>0.0</v>
      </c>
      <c r="P298" s="113">
        <v>0.0</v>
      </c>
      <c r="Q298" s="188">
        <f t="shared" si="2"/>
        <v>0</v>
      </c>
      <c r="R298" s="189">
        <v>0.0</v>
      </c>
      <c r="S298" s="189">
        <v>0.0</v>
      </c>
      <c r="T298" s="190">
        <f t="shared" si="3"/>
        <v>0</v>
      </c>
      <c r="U298" s="221" t="s">
        <v>220</v>
      </c>
      <c r="V298" s="221" t="s">
        <v>220</v>
      </c>
      <c r="W298" s="192"/>
      <c r="X298" s="193">
        <v>45636.0</v>
      </c>
      <c r="Y298" s="193">
        <v>46257.0</v>
      </c>
      <c r="Z298" s="194">
        <v>0.0</v>
      </c>
      <c r="AA298" s="194">
        <v>0.0</v>
      </c>
      <c r="AB298" s="193">
        <f t="shared" si="83"/>
        <v>46257</v>
      </c>
      <c r="AC298" s="66">
        <f t="shared" si="4"/>
        <v>-30</v>
      </c>
      <c r="AD298" s="55"/>
      <c r="AE298" s="55"/>
      <c r="AF298" s="55"/>
      <c r="AG298" s="55"/>
      <c r="AH298" s="86">
        <f t="shared" si="40"/>
        <v>0</v>
      </c>
      <c r="AI298" s="100">
        <f t="shared" si="80"/>
        <v>2000</v>
      </c>
      <c r="AJ298" s="280"/>
      <c r="AK298" s="280"/>
      <c r="AL298" s="280"/>
      <c r="AM298" s="280"/>
      <c r="AN298" s="280"/>
      <c r="AO298" s="280">
        <v>0.0</v>
      </c>
      <c r="AP298" s="178">
        <f t="shared" si="81"/>
        <v>2000</v>
      </c>
      <c r="AQ298" s="280">
        <v>0.0</v>
      </c>
      <c r="AR298" s="113">
        <f t="shared" si="79"/>
        <v>0</v>
      </c>
      <c r="AS298" s="113">
        <v>0.0</v>
      </c>
      <c r="AT298" s="224">
        <f t="shared" si="73"/>
        <v>1</v>
      </c>
      <c r="AU298" s="224" t="str">
        <f t="shared" si="23"/>
        <v>#DIV/0!</v>
      </c>
      <c r="AV298" s="184"/>
      <c r="AW298" s="74"/>
      <c r="AX298" s="214"/>
      <c r="AY298" s="215"/>
      <c r="AZ298" s="210"/>
      <c r="BA298" s="210"/>
      <c r="BB298" s="219"/>
      <c r="BC298" s="77"/>
      <c r="BD298" s="210"/>
      <c r="BE298" s="117"/>
      <c r="BF298" s="199"/>
      <c r="BG298" s="199"/>
      <c r="BH298" s="199"/>
    </row>
    <row r="299" ht="104.25" customHeight="1">
      <c r="A299" s="50">
        <v>298.0</v>
      </c>
      <c r="B299" s="463">
        <v>2024.0</v>
      </c>
      <c r="C299" s="464" t="s">
        <v>1255</v>
      </c>
      <c r="D299" s="465" t="s">
        <v>74</v>
      </c>
      <c r="E299" s="464" t="s">
        <v>1256</v>
      </c>
      <c r="F299" s="53">
        <v>2.02405789004E12</v>
      </c>
      <c r="G299" s="184" t="s">
        <v>1292</v>
      </c>
      <c r="H299" s="184" t="str">
        <f t="shared" si="82"/>
        <v>TÁMESIS</v>
      </c>
      <c r="I299" s="184" t="s">
        <v>78</v>
      </c>
      <c r="J299" s="184" t="s">
        <v>1293</v>
      </c>
      <c r="K299" s="184"/>
      <c r="L299" s="184">
        <v>8.0</v>
      </c>
      <c r="M299" s="100">
        <v>1300.0</v>
      </c>
      <c r="N299" s="187">
        <v>0.0</v>
      </c>
      <c r="O299" s="113">
        <v>0.0</v>
      </c>
      <c r="P299" s="113">
        <v>0.0</v>
      </c>
      <c r="Q299" s="188">
        <f t="shared" si="2"/>
        <v>0</v>
      </c>
      <c r="R299" s="189">
        <v>0.0</v>
      </c>
      <c r="S299" s="189">
        <v>0.0</v>
      </c>
      <c r="T299" s="190">
        <f t="shared" si="3"/>
        <v>0</v>
      </c>
      <c r="U299" s="221" t="s">
        <v>220</v>
      </c>
      <c r="V299" s="221" t="s">
        <v>220</v>
      </c>
      <c r="W299" s="192"/>
      <c r="X299" s="193">
        <v>45628.0</v>
      </c>
      <c r="Y299" s="193">
        <v>45926.0</v>
      </c>
      <c r="Z299" s="194">
        <v>0.0</v>
      </c>
      <c r="AA299" s="194">
        <v>0.0</v>
      </c>
      <c r="AB299" s="193">
        <f t="shared" si="83"/>
        <v>45926</v>
      </c>
      <c r="AC299" s="66">
        <f t="shared" si="4"/>
        <v>-361</v>
      </c>
      <c r="AD299" s="55"/>
      <c r="AE299" s="55"/>
      <c r="AF299" s="55"/>
      <c r="AG299" s="55"/>
      <c r="AH299" s="86">
        <f t="shared" si="40"/>
        <v>0</v>
      </c>
      <c r="AI299" s="100">
        <f t="shared" si="80"/>
        <v>1300</v>
      </c>
      <c r="AJ299" s="280"/>
      <c r="AK299" s="280"/>
      <c r="AL299" s="280"/>
      <c r="AM299" s="280"/>
      <c r="AN299" s="280"/>
      <c r="AO299" s="280">
        <v>0.0</v>
      </c>
      <c r="AP299" s="178">
        <f t="shared" si="81"/>
        <v>1300</v>
      </c>
      <c r="AQ299" s="280">
        <v>0.0</v>
      </c>
      <c r="AR299" s="113">
        <f t="shared" si="79"/>
        <v>0</v>
      </c>
      <c r="AS299" s="113">
        <v>0.0</v>
      </c>
      <c r="AT299" s="224">
        <f t="shared" si="73"/>
        <v>1</v>
      </c>
      <c r="AU299" s="224" t="str">
        <f t="shared" si="23"/>
        <v>#DIV/0!</v>
      </c>
      <c r="AV299" s="184"/>
      <c r="AW299" s="74"/>
      <c r="AX299" s="214"/>
      <c r="AY299" s="215"/>
      <c r="AZ299" s="210"/>
      <c r="BA299" s="210"/>
      <c r="BB299" s="219"/>
      <c r="BC299" s="77"/>
      <c r="BD299" s="210"/>
      <c r="BE299" s="117"/>
      <c r="BF299" s="199"/>
      <c r="BG299" s="199"/>
      <c r="BH299" s="199"/>
    </row>
    <row r="300" ht="104.25" customHeight="1">
      <c r="A300" s="50">
        <v>299.0</v>
      </c>
      <c r="B300" s="463">
        <v>2024.0</v>
      </c>
      <c r="C300" s="464" t="s">
        <v>1255</v>
      </c>
      <c r="D300" s="465" t="s">
        <v>74</v>
      </c>
      <c r="E300" s="464" t="s">
        <v>1256</v>
      </c>
      <c r="F300" s="53">
        <v>2.024054830016E12</v>
      </c>
      <c r="G300" s="184" t="s">
        <v>295</v>
      </c>
      <c r="H300" s="184" t="str">
        <f t="shared" si="82"/>
        <v>NARIÑO</v>
      </c>
      <c r="I300" s="184" t="s">
        <v>120</v>
      </c>
      <c r="J300" s="184" t="s">
        <v>1294</v>
      </c>
      <c r="K300" s="184"/>
      <c r="L300" s="184">
        <v>8.0</v>
      </c>
      <c r="M300" s="100">
        <v>1000.0</v>
      </c>
      <c r="N300" s="187">
        <v>0.0</v>
      </c>
      <c r="O300" s="113">
        <v>0.0</v>
      </c>
      <c r="P300" s="113">
        <v>0.0</v>
      </c>
      <c r="Q300" s="188">
        <f t="shared" si="2"/>
        <v>0</v>
      </c>
      <c r="R300" s="189">
        <v>0.0</v>
      </c>
      <c r="S300" s="189">
        <v>0.0</v>
      </c>
      <c r="T300" s="190">
        <f t="shared" si="3"/>
        <v>0</v>
      </c>
      <c r="U300" s="221" t="s">
        <v>220</v>
      </c>
      <c r="V300" s="221" t="s">
        <v>220</v>
      </c>
      <c r="W300" s="192"/>
      <c r="X300" s="193">
        <v>45636.0</v>
      </c>
      <c r="Y300" s="193">
        <v>45940.0</v>
      </c>
      <c r="Z300" s="194">
        <v>0.0</v>
      </c>
      <c r="AA300" s="194">
        <v>0.0</v>
      </c>
      <c r="AB300" s="193">
        <f t="shared" si="83"/>
        <v>45940</v>
      </c>
      <c r="AC300" s="66">
        <f t="shared" si="4"/>
        <v>-347</v>
      </c>
      <c r="AD300" s="55"/>
      <c r="AE300" s="55"/>
      <c r="AF300" s="55"/>
      <c r="AG300" s="55"/>
      <c r="AH300" s="86">
        <f t="shared" si="40"/>
        <v>0</v>
      </c>
      <c r="AI300" s="27">
        <f t="shared" si="80"/>
        <v>1000</v>
      </c>
      <c r="AJ300" s="51"/>
      <c r="AK300" s="280"/>
      <c r="AL300" s="280"/>
      <c r="AM300" s="280"/>
      <c r="AN300" s="280"/>
      <c r="AO300" s="280">
        <v>0.0</v>
      </c>
      <c r="AP300" s="178">
        <f t="shared" si="81"/>
        <v>1000</v>
      </c>
      <c r="AQ300" s="280">
        <v>0.0</v>
      </c>
      <c r="AR300" s="113">
        <f t="shared" si="79"/>
        <v>0</v>
      </c>
      <c r="AS300" s="113">
        <v>0.0</v>
      </c>
      <c r="AT300" s="224">
        <f t="shared" si="73"/>
        <v>1</v>
      </c>
      <c r="AU300" s="224" t="str">
        <f t="shared" si="23"/>
        <v>#DIV/0!</v>
      </c>
      <c r="AV300" s="184"/>
      <c r="AW300" s="74"/>
      <c r="AX300" s="214"/>
      <c r="AY300" s="215"/>
      <c r="AZ300" s="210"/>
      <c r="BA300" s="210"/>
      <c r="BB300" s="219"/>
      <c r="BC300" s="77"/>
      <c r="BD300" s="210"/>
      <c r="BE300" s="117"/>
      <c r="BF300" s="199"/>
      <c r="BG300" s="199"/>
      <c r="BH300" s="199"/>
    </row>
    <row r="301" ht="104.25" customHeight="1">
      <c r="A301" s="50">
        <v>300.0</v>
      </c>
      <c r="B301" s="463">
        <v>2024.0</v>
      </c>
      <c r="C301" s="464" t="s">
        <v>1255</v>
      </c>
      <c r="D301" s="465" t="s">
        <v>74</v>
      </c>
      <c r="E301" s="464" t="s">
        <v>1256</v>
      </c>
      <c r="F301" s="53">
        <v>2.024003050236E12</v>
      </c>
      <c r="G301" s="184" t="s">
        <v>531</v>
      </c>
      <c r="H301" s="184" t="str">
        <f t="shared" si="82"/>
        <v>GIRALDO</v>
      </c>
      <c r="I301" s="184" t="s">
        <v>127</v>
      </c>
      <c r="J301" s="184" t="s">
        <v>1295</v>
      </c>
      <c r="K301" s="184"/>
      <c r="L301" s="184">
        <v>8.0</v>
      </c>
      <c r="M301" s="100">
        <v>950.0</v>
      </c>
      <c r="N301" s="187">
        <v>0.0</v>
      </c>
      <c r="O301" s="113">
        <v>0.0</v>
      </c>
      <c r="P301" s="113">
        <v>0.0</v>
      </c>
      <c r="Q301" s="188">
        <f t="shared" si="2"/>
        <v>0</v>
      </c>
      <c r="R301" s="189">
        <v>0.0</v>
      </c>
      <c r="S301" s="189">
        <v>0.0</v>
      </c>
      <c r="T301" s="190">
        <f t="shared" si="3"/>
        <v>0</v>
      </c>
      <c r="U301" s="221" t="s">
        <v>220</v>
      </c>
      <c r="V301" s="221" t="s">
        <v>220</v>
      </c>
      <c r="W301" s="192"/>
      <c r="X301" s="193">
        <v>45618.0</v>
      </c>
      <c r="Y301" s="193">
        <v>46081.0</v>
      </c>
      <c r="Z301" s="194">
        <v>0.0</v>
      </c>
      <c r="AA301" s="194">
        <v>0.0</v>
      </c>
      <c r="AB301" s="193">
        <f t="shared" si="83"/>
        <v>46081</v>
      </c>
      <c r="AC301" s="66">
        <f t="shared" si="4"/>
        <v>-206</v>
      </c>
      <c r="AD301" s="55"/>
      <c r="AE301" s="55"/>
      <c r="AF301" s="55"/>
      <c r="AG301" s="55"/>
      <c r="AH301" s="86">
        <f t="shared" si="40"/>
        <v>0</v>
      </c>
      <c r="AI301" s="100">
        <f t="shared" si="80"/>
        <v>950</v>
      </c>
      <c r="AJ301" s="280"/>
      <c r="AK301" s="280"/>
      <c r="AL301" s="280"/>
      <c r="AM301" s="280"/>
      <c r="AN301" s="280"/>
      <c r="AO301" s="280">
        <v>0.0</v>
      </c>
      <c r="AP301" s="178">
        <f t="shared" si="81"/>
        <v>950</v>
      </c>
      <c r="AQ301" s="280">
        <v>0.0</v>
      </c>
      <c r="AR301" s="113">
        <f t="shared" si="79"/>
        <v>0</v>
      </c>
      <c r="AS301" s="113">
        <v>0.0</v>
      </c>
      <c r="AT301" s="224">
        <f t="shared" si="73"/>
        <v>1</v>
      </c>
      <c r="AU301" s="224" t="str">
        <f t="shared" si="23"/>
        <v>#DIV/0!</v>
      </c>
      <c r="AV301" s="184"/>
      <c r="AW301" s="74"/>
      <c r="AX301" s="214"/>
      <c r="AY301" s="215"/>
      <c r="AZ301" s="210"/>
      <c r="BA301" s="210"/>
      <c r="BB301" s="219"/>
      <c r="BC301" s="77"/>
      <c r="BD301" s="210"/>
      <c r="BE301" s="117"/>
      <c r="BF301" s="199"/>
      <c r="BG301" s="199"/>
      <c r="BH301" s="199"/>
    </row>
    <row r="302" ht="104.25" customHeight="1">
      <c r="A302" s="50">
        <v>301.0</v>
      </c>
      <c r="B302" s="463">
        <v>2024.0</v>
      </c>
      <c r="C302" s="464" t="s">
        <v>1255</v>
      </c>
      <c r="D302" s="465" t="s">
        <v>74</v>
      </c>
      <c r="E302" s="464" t="s">
        <v>1256</v>
      </c>
      <c r="F302" s="53">
        <v>2.024003050238E12</v>
      </c>
      <c r="G302" s="184" t="s">
        <v>1296</v>
      </c>
      <c r="H302" s="184" t="str">
        <f t="shared" si="82"/>
        <v>CAROLINA DEL PRÍNCIPE</v>
      </c>
      <c r="I302" s="184" t="s">
        <v>174</v>
      </c>
      <c r="J302" s="184" t="s">
        <v>1297</v>
      </c>
      <c r="K302" s="184"/>
      <c r="L302" s="184">
        <v>8.0</v>
      </c>
      <c r="M302" s="100">
        <v>2000.0</v>
      </c>
      <c r="N302" s="187">
        <v>0.0</v>
      </c>
      <c r="O302" s="113">
        <v>0.0</v>
      </c>
      <c r="P302" s="113">
        <v>0.0</v>
      </c>
      <c r="Q302" s="188">
        <f t="shared" si="2"/>
        <v>0</v>
      </c>
      <c r="R302" s="189">
        <v>0.0</v>
      </c>
      <c r="S302" s="189">
        <v>0.0</v>
      </c>
      <c r="T302" s="190">
        <f t="shared" si="3"/>
        <v>0</v>
      </c>
      <c r="U302" s="221" t="s">
        <v>220</v>
      </c>
      <c r="V302" s="221" t="s">
        <v>220</v>
      </c>
      <c r="W302" s="192"/>
      <c r="X302" s="193">
        <v>45635.0</v>
      </c>
      <c r="Y302" s="193">
        <v>45838.0</v>
      </c>
      <c r="Z302" s="194">
        <v>0.0</v>
      </c>
      <c r="AA302" s="194">
        <v>0.0</v>
      </c>
      <c r="AB302" s="193">
        <f t="shared" si="83"/>
        <v>45838</v>
      </c>
      <c r="AC302" s="66">
        <f t="shared" si="4"/>
        <v>-449</v>
      </c>
      <c r="AD302" s="55"/>
      <c r="AE302" s="55"/>
      <c r="AF302" s="55"/>
      <c r="AG302" s="55"/>
      <c r="AH302" s="86">
        <f t="shared" si="40"/>
        <v>0</v>
      </c>
      <c r="AI302" s="100">
        <f t="shared" si="80"/>
        <v>2000</v>
      </c>
      <c r="AJ302" s="280"/>
      <c r="AK302" s="280"/>
      <c r="AL302" s="280"/>
      <c r="AM302" s="280"/>
      <c r="AN302" s="280"/>
      <c r="AO302" s="280">
        <v>0.0</v>
      </c>
      <c r="AP302" s="178">
        <f t="shared" si="81"/>
        <v>2000</v>
      </c>
      <c r="AQ302" s="280">
        <v>0.0</v>
      </c>
      <c r="AR302" s="113">
        <f t="shared" si="79"/>
        <v>0</v>
      </c>
      <c r="AS302" s="113">
        <v>0.0</v>
      </c>
      <c r="AT302" s="224">
        <f t="shared" si="73"/>
        <v>1</v>
      </c>
      <c r="AU302" s="224" t="str">
        <f t="shared" si="23"/>
        <v>#DIV/0!</v>
      </c>
      <c r="AV302" s="184"/>
      <c r="AW302" s="74"/>
      <c r="AX302" s="214"/>
      <c r="AY302" s="215"/>
      <c r="AZ302" s="210"/>
      <c r="BA302" s="210"/>
      <c r="BB302" s="219"/>
      <c r="BC302" s="77"/>
      <c r="BD302" s="210"/>
      <c r="BE302" s="117"/>
      <c r="BF302" s="199"/>
      <c r="BG302" s="199"/>
      <c r="BH302" s="199"/>
    </row>
    <row r="303" ht="104.25" customHeight="1">
      <c r="A303" s="50">
        <v>302.0</v>
      </c>
      <c r="B303" s="463">
        <v>2024.0</v>
      </c>
      <c r="C303" s="464" t="s">
        <v>1255</v>
      </c>
      <c r="D303" s="465" t="s">
        <v>74</v>
      </c>
      <c r="E303" s="464" t="s">
        <v>1256</v>
      </c>
      <c r="F303" s="53">
        <v>2.024003050244E12</v>
      </c>
      <c r="G303" s="184" t="s">
        <v>179</v>
      </c>
      <c r="H303" s="184" t="str">
        <f t="shared" si="82"/>
        <v>CIUDAD BOLIVAR</v>
      </c>
      <c r="I303" s="184" t="s">
        <v>78</v>
      </c>
      <c r="J303" s="184" t="s">
        <v>1298</v>
      </c>
      <c r="K303" s="184"/>
      <c r="L303" s="184">
        <v>8.0</v>
      </c>
      <c r="M303" s="100">
        <v>1000.0</v>
      </c>
      <c r="N303" s="187">
        <v>0.0</v>
      </c>
      <c r="O303" s="113">
        <v>0.0</v>
      </c>
      <c r="P303" s="113">
        <v>0.0</v>
      </c>
      <c r="Q303" s="188">
        <f t="shared" si="2"/>
        <v>0</v>
      </c>
      <c r="R303" s="189">
        <v>0.0</v>
      </c>
      <c r="S303" s="189">
        <v>0.0</v>
      </c>
      <c r="T303" s="190">
        <f t="shared" si="3"/>
        <v>0</v>
      </c>
      <c r="U303" s="221" t="s">
        <v>220</v>
      </c>
      <c r="V303" s="221" t="s">
        <v>220</v>
      </c>
      <c r="W303" s="192"/>
      <c r="X303" s="193">
        <v>45636.0</v>
      </c>
      <c r="Y303" s="466">
        <v>46306.0</v>
      </c>
      <c r="Z303" s="194">
        <v>0.0</v>
      </c>
      <c r="AA303" s="194">
        <v>0.0</v>
      </c>
      <c r="AB303" s="193">
        <f t="shared" si="83"/>
        <v>46306</v>
      </c>
      <c r="AC303" s="66">
        <f t="shared" si="4"/>
        <v>19</v>
      </c>
      <c r="AD303" s="55"/>
      <c r="AE303" s="55"/>
      <c r="AF303" s="55"/>
      <c r="AG303" s="55"/>
      <c r="AH303" s="86">
        <f t="shared" si="40"/>
        <v>0</v>
      </c>
      <c r="AI303" s="27">
        <f t="shared" si="80"/>
        <v>1000</v>
      </c>
      <c r="AJ303" s="51"/>
      <c r="AK303" s="280"/>
      <c r="AL303" s="280"/>
      <c r="AM303" s="280"/>
      <c r="AN303" s="280"/>
      <c r="AO303" s="280">
        <v>0.0</v>
      </c>
      <c r="AP303" s="178">
        <f t="shared" si="81"/>
        <v>1000</v>
      </c>
      <c r="AQ303" s="280">
        <v>0.0</v>
      </c>
      <c r="AR303" s="113">
        <f t="shared" si="79"/>
        <v>0</v>
      </c>
      <c r="AS303" s="113">
        <v>0.0</v>
      </c>
      <c r="AT303" s="224">
        <f t="shared" si="73"/>
        <v>1</v>
      </c>
      <c r="AU303" s="224" t="str">
        <f t="shared" si="23"/>
        <v>#DIV/0!</v>
      </c>
      <c r="AV303" s="184"/>
      <c r="AW303" s="74"/>
      <c r="AX303" s="214"/>
      <c r="AY303" s="215"/>
      <c r="AZ303" s="210"/>
      <c r="BA303" s="210"/>
      <c r="BB303" s="219"/>
      <c r="BC303" s="77"/>
      <c r="BD303" s="210"/>
      <c r="BE303" s="117"/>
      <c r="BF303" s="199"/>
      <c r="BG303" s="199"/>
      <c r="BH303" s="199"/>
    </row>
    <row r="304" ht="104.25" customHeight="1">
      <c r="A304" s="50">
        <v>303.0</v>
      </c>
      <c r="B304" s="463">
        <v>2024.0</v>
      </c>
      <c r="C304" s="464" t="s">
        <v>1255</v>
      </c>
      <c r="D304" s="465" t="s">
        <v>74</v>
      </c>
      <c r="E304" s="464" t="s">
        <v>1256</v>
      </c>
      <c r="F304" s="53">
        <v>2.024003050242E12</v>
      </c>
      <c r="G304" s="184" t="s">
        <v>1299</v>
      </c>
      <c r="H304" s="184" t="str">
        <f t="shared" si="82"/>
        <v>ENTRERRÍOS</v>
      </c>
      <c r="I304" s="184" t="s">
        <v>174</v>
      </c>
      <c r="J304" s="184" t="s">
        <v>1300</v>
      </c>
      <c r="K304" s="184"/>
      <c r="L304" s="184">
        <v>8.0</v>
      </c>
      <c r="M304" s="100">
        <v>1100.0</v>
      </c>
      <c r="N304" s="187">
        <v>0.0</v>
      </c>
      <c r="O304" s="113">
        <v>0.0</v>
      </c>
      <c r="P304" s="113">
        <v>0.0</v>
      </c>
      <c r="Q304" s="188">
        <f t="shared" si="2"/>
        <v>0</v>
      </c>
      <c r="R304" s="189">
        <v>0.0</v>
      </c>
      <c r="S304" s="189">
        <v>0.0</v>
      </c>
      <c r="T304" s="190">
        <f t="shared" si="3"/>
        <v>0</v>
      </c>
      <c r="U304" s="221" t="s">
        <v>220</v>
      </c>
      <c r="V304" s="221" t="s">
        <v>220</v>
      </c>
      <c r="W304" s="192"/>
      <c r="X304" s="193">
        <v>45637.0</v>
      </c>
      <c r="Y304" s="193">
        <v>45932.0</v>
      </c>
      <c r="Z304" s="194">
        <v>0.0</v>
      </c>
      <c r="AA304" s="194">
        <v>0.0</v>
      </c>
      <c r="AB304" s="193">
        <f t="shared" si="83"/>
        <v>45932</v>
      </c>
      <c r="AC304" s="66">
        <f t="shared" si="4"/>
        <v>-355</v>
      </c>
      <c r="AD304" s="55"/>
      <c r="AE304" s="55"/>
      <c r="AF304" s="55"/>
      <c r="AG304" s="55"/>
      <c r="AH304" s="86">
        <f t="shared" si="40"/>
        <v>0</v>
      </c>
      <c r="AI304" s="100">
        <f t="shared" si="80"/>
        <v>1100</v>
      </c>
      <c r="AJ304" s="280"/>
      <c r="AK304" s="280"/>
      <c r="AL304" s="280"/>
      <c r="AM304" s="280"/>
      <c r="AN304" s="280"/>
      <c r="AO304" s="280">
        <v>0.0</v>
      </c>
      <c r="AP304" s="178">
        <f t="shared" si="81"/>
        <v>1100</v>
      </c>
      <c r="AQ304" s="280">
        <v>0.0</v>
      </c>
      <c r="AR304" s="113">
        <f t="shared" si="79"/>
        <v>0</v>
      </c>
      <c r="AS304" s="113">
        <v>0.0</v>
      </c>
      <c r="AT304" s="224">
        <f t="shared" si="73"/>
        <v>1</v>
      </c>
      <c r="AU304" s="224" t="str">
        <f t="shared" si="23"/>
        <v>#DIV/0!</v>
      </c>
      <c r="AV304" s="184"/>
      <c r="AW304" s="74"/>
      <c r="AX304" s="214"/>
      <c r="AY304" s="215"/>
      <c r="AZ304" s="210"/>
      <c r="BA304" s="210"/>
      <c r="BB304" s="219"/>
      <c r="BC304" s="77"/>
      <c r="BD304" s="210"/>
      <c r="BE304" s="117"/>
      <c r="BF304" s="199"/>
      <c r="BG304" s="199"/>
      <c r="BH304" s="199"/>
    </row>
    <row r="305" ht="104.25" customHeight="1">
      <c r="A305" s="50">
        <v>304.0</v>
      </c>
      <c r="B305" s="463">
        <v>2024.0</v>
      </c>
      <c r="C305" s="464" t="s">
        <v>1255</v>
      </c>
      <c r="D305" s="465" t="s">
        <v>74</v>
      </c>
      <c r="E305" s="464" t="s">
        <v>1256</v>
      </c>
      <c r="F305" s="53">
        <v>2.024003050245E12</v>
      </c>
      <c r="G305" s="184" t="s">
        <v>419</v>
      </c>
      <c r="H305" s="184" t="str">
        <f t="shared" si="82"/>
        <v>SAN PEDRO DE LOS MILAGROS</v>
      </c>
      <c r="I305" s="184" t="s">
        <v>174</v>
      </c>
      <c r="J305" s="184" t="s">
        <v>1301</v>
      </c>
      <c r="K305" s="184"/>
      <c r="L305" s="184">
        <v>8.0</v>
      </c>
      <c r="M305" s="100">
        <v>3000.0</v>
      </c>
      <c r="N305" s="187">
        <v>0.0</v>
      </c>
      <c r="O305" s="113">
        <v>0.0</v>
      </c>
      <c r="P305" s="113">
        <v>0.0</v>
      </c>
      <c r="Q305" s="188">
        <f t="shared" si="2"/>
        <v>0</v>
      </c>
      <c r="R305" s="189">
        <v>0.0</v>
      </c>
      <c r="S305" s="189">
        <v>0.0</v>
      </c>
      <c r="T305" s="190">
        <f t="shared" si="3"/>
        <v>0</v>
      </c>
      <c r="U305" s="221" t="s">
        <v>220</v>
      </c>
      <c r="V305" s="221" t="s">
        <v>220</v>
      </c>
      <c r="W305" s="192"/>
      <c r="X305" s="193">
        <v>45635.0</v>
      </c>
      <c r="Y305" s="193">
        <v>46234.0</v>
      </c>
      <c r="Z305" s="194">
        <v>0.0</v>
      </c>
      <c r="AA305" s="194">
        <v>0.0</v>
      </c>
      <c r="AB305" s="193">
        <f t="shared" si="83"/>
        <v>46234</v>
      </c>
      <c r="AC305" s="66">
        <f t="shared" si="4"/>
        <v>-53</v>
      </c>
      <c r="AD305" s="55"/>
      <c r="AE305" s="55"/>
      <c r="AF305" s="55"/>
      <c r="AG305" s="55"/>
      <c r="AH305" s="86">
        <f t="shared" si="40"/>
        <v>0</v>
      </c>
      <c r="AI305" s="100">
        <f t="shared" si="80"/>
        <v>3000</v>
      </c>
      <c r="AJ305" s="280"/>
      <c r="AK305" s="280"/>
      <c r="AL305" s="280"/>
      <c r="AM305" s="280"/>
      <c r="AN305" s="280"/>
      <c r="AO305" s="280">
        <v>0.0</v>
      </c>
      <c r="AP305" s="178">
        <f t="shared" si="81"/>
        <v>3000</v>
      </c>
      <c r="AQ305" s="280">
        <v>0.0</v>
      </c>
      <c r="AR305" s="113">
        <f t="shared" si="79"/>
        <v>0</v>
      </c>
      <c r="AS305" s="113">
        <v>0.0</v>
      </c>
      <c r="AT305" s="224">
        <f t="shared" si="73"/>
        <v>1</v>
      </c>
      <c r="AU305" s="224" t="str">
        <f t="shared" si="23"/>
        <v>#DIV/0!</v>
      </c>
      <c r="AV305" s="184"/>
      <c r="AW305" s="74"/>
      <c r="AX305" s="214"/>
      <c r="AY305" s="215"/>
      <c r="AZ305" s="210"/>
      <c r="BA305" s="210"/>
      <c r="BB305" s="219"/>
      <c r="BC305" s="77"/>
      <c r="BD305" s="210"/>
      <c r="BE305" s="117"/>
      <c r="BF305" s="199"/>
      <c r="BG305" s="199"/>
      <c r="BH305" s="199"/>
    </row>
    <row r="306" ht="104.25" customHeight="1">
      <c r="A306" s="50">
        <v>305.0</v>
      </c>
      <c r="B306" s="463">
        <v>2024.0</v>
      </c>
      <c r="C306" s="464" t="s">
        <v>1255</v>
      </c>
      <c r="D306" s="465" t="s">
        <v>74</v>
      </c>
      <c r="E306" s="464" t="s">
        <v>1256</v>
      </c>
      <c r="F306" s="53">
        <v>2.024003050237E12</v>
      </c>
      <c r="G306" s="184" t="s">
        <v>391</v>
      </c>
      <c r="H306" s="184" t="str">
        <f t="shared" si="82"/>
        <v>ANDES</v>
      </c>
      <c r="I306" s="184" t="s">
        <v>78</v>
      </c>
      <c r="J306" s="184" t="s">
        <v>1302</v>
      </c>
      <c r="K306" s="184"/>
      <c r="L306" s="184">
        <v>8.0</v>
      </c>
      <c r="M306" s="100">
        <v>3000.0</v>
      </c>
      <c r="N306" s="187">
        <v>0.0</v>
      </c>
      <c r="O306" s="113">
        <v>0.0</v>
      </c>
      <c r="P306" s="113">
        <v>0.0</v>
      </c>
      <c r="Q306" s="188">
        <f t="shared" si="2"/>
        <v>0</v>
      </c>
      <c r="R306" s="189">
        <v>0.0</v>
      </c>
      <c r="S306" s="189">
        <v>0.0</v>
      </c>
      <c r="T306" s="190">
        <f t="shared" si="3"/>
        <v>0</v>
      </c>
      <c r="U306" s="221" t="s">
        <v>220</v>
      </c>
      <c r="V306" s="221" t="s">
        <v>220</v>
      </c>
      <c r="W306" s="192"/>
      <c r="X306" s="193">
        <v>45635.0</v>
      </c>
      <c r="Y306" s="193">
        <v>46134.0</v>
      </c>
      <c r="Z306" s="194">
        <v>0.0</v>
      </c>
      <c r="AA306" s="194">
        <v>0.0</v>
      </c>
      <c r="AB306" s="193">
        <f t="shared" si="83"/>
        <v>46134</v>
      </c>
      <c r="AC306" s="66">
        <f t="shared" si="4"/>
        <v>-153</v>
      </c>
      <c r="AD306" s="55"/>
      <c r="AE306" s="55"/>
      <c r="AF306" s="55"/>
      <c r="AG306" s="55"/>
      <c r="AH306" s="86">
        <f t="shared" si="40"/>
        <v>0</v>
      </c>
      <c r="AI306" s="100">
        <f t="shared" si="80"/>
        <v>3000</v>
      </c>
      <c r="AJ306" s="280"/>
      <c r="AK306" s="280"/>
      <c r="AL306" s="280"/>
      <c r="AM306" s="280"/>
      <c r="AN306" s="280"/>
      <c r="AO306" s="280">
        <v>0.0</v>
      </c>
      <c r="AP306" s="178">
        <f t="shared" si="81"/>
        <v>3000</v>
      </c>
      <c r="AQ306" s="280">
        <v>0.0</v>
      </c>
      <c r="AR306" s="113">
        <f t="shared" si="79"/>
        <v>0</v>
      </c>
      <c r="AS306" s="113">
        <v>0.0</v>
      </c>
      <c r="AT306" s="224">
        <f t="shared" si="73"/>
        <v>1</v>
      </c>
      <c r="AU306" s="224" t="str">
        <f t="shared" si="23"/>
        <v>#DIV/0!</v>
      </c>
      <c r="AV306" s="184"/>
      <c r="AW306" s="74"/>
      <c r="AX306" s="214"/>
      <c r="AY306" s="215"/>
      <c r="AZ306" s="210"/>
      <c r="BA306" s="210"/>
      <c r="BB306" s="219"/>
      <c r="BC306" s="77"/>
      <c r="BD306" s="210"/>
      <c r="BE306" s="117"/>
      <c r="BF306" s="199"/>
      <c r="BG306" s="199"/>
      <c r="BH306" s="199"/>
    </row>
    <row r="307" ht="104.25" customHeight="1">
      <c r="A307" s="50">
        <v>306.0</v>
      </c>
      <c r="B307" s="463">
        <v>2024.0</v>
      </c>
      <c r="C307" s="464" t="s">
        <v>1255</v>
      </c>
      <c r="D307" s="465" t="s">
        <v>74</v>
      </c>
      <c r="E307" s="464" t="s">
        <v>1256</v>
      </c>
      <c r="F307" s="53">
        <v>2.024051970041E12</v>
      </c>
      <c r="G307" s="184" t="s">
        <v>269</v>
      </c>
      <c r="H307" s="184" t="str">
        <f t="shared" si="82"/>
        <v>COCORNÁ</v>
      </c>
      <c r="I307" s="184" t="s">
        <v>120</v>
      </c>
      <c r="J307" s="184" t="s">
        <v>1303</v>
      </c>
      <c r="K307" s="184"/>
      <c r="L307" s="184">
        <v>8.0</v>
      </c>
      <c r="M307" s="100">
        <v>1500.0</v>
      </c>
      <c r="N307" s="187">
        <v>0.0</v>
      </c>
      <c r="O307" s="113">
        <v>0.0</v>
      </c>
      <c r="P307" s="113">
        <v>0.0</v>
      </c>
      <c r="Q307" s="188">
        <f t="shared" si="2"/>
        <v>0</v>
      </c>
      <c r="R307" s="189">
        <v>0.0</v>
      </c>
      <c r="S307" s="189">
        <v>0.0</v>
      </c>
      <c r="T307" s="190">
        <f t="shared" si="3"/>
        <v>0</v>
      </c>
      <c r="U307" s="221" t="s">
        <v>220</v>
      </c>
      <c r="V307" s="221" t="s">
        <v>220</v>
      </c>
      <c r="W307" s="192"/>
      <c r="X307" s="193">
        <v>45636.0</v>
      </c>
      <c r="Y307" s="193">
        <v>45878.0</v>
      </c>
      <c r="Z307" s="194">
        <v>0.0</v>
      </c>
      <c r="AA307" s="194">
        <v>0.0</v>
      </c>
      <c r="AB307" s="193">
        <f t="shared" si="83"/>
        <v>45878</v>
      </c>
      <c r="AC307" s="66">
        <f t="shared" si="4"/>
        <v>-409</v>
      </c>
      <c r="AD307" s="55"/>
      <c r="AE307" s="55"/>
      <c r="AF307" s="55"/>
      <c r="AG307" s="55"/>
      <c r="AH307" s="86">
        <f t="shared" si="40"/>
        <v>0</v>
      </c>
      <c r="AI307" s="100">
        <f t="shared" si="80"/>
        <v>1500</v>
      </c>
      <c r="AJ307" s="280"/>
      <c r="AK307" s="280"/>
      <c r="AL307" s="280"/>
      <c r="AM307" s="280"/>
      <c r="AN307" s="280"/>
      <c r="AO307" s="280">
        <v>0.0</v>
      </c>
      <c r="AP307" s="178">
        <f t="shared" si="81"/>
        <v>1500</v>
      </c>
      <c r="AQ307" s="280">
        <v>0.0</v>
      </c>
      <c r="AR307" s="113">
        <f t="shared" si="79"/>
        <v>0</v>
      </c>
      <c r="AS307" s="113">
        <v>0.0</v>
      </c>
      <c r="AT307" s="224">
        <f t="shared" si="73"/>
        <v>1</v>
      </c>
      <c r="AU307" s="224" t="str">
        <f t="shared" si="23"/>
        <v>#DIV/0!</v>
      </c>
      <c r="AV307" s="184"/>
      <c r="AW307" s="74"/>
      <c r="AX307" s="214"/>
      <c r="AY307" s="215"/>
      <c r="AZ307" s="210"/>
      <c r="BA307" s="210"/>
      <c r="BB307" s="219"/>
      <c r="BC307" s="77"/>
      <c r="BD307" s="210"/>
      <c r="BE307" s="117"/>
      <c r="BF307" s="199"/>
      <c r="BG307" s="199"/>
      <c r="BH307" s="199"/>
    </row>
    <row r="308" ht="104.25" customHeight="1">
      <c r="A308" s="50">
        <v>307.0</v>
      </c>
      <c r="B308" s="463">
        <v>2025.0</v>
      </c>
      <c r="C308" s="464" t="s">
        <v>1255</v>
      </c>
      <c r="D308" s="465" t="s">
        <v>74</v>
      </c>
      <c r="E308" s="464" t="s">
        <v>1256</v>
      </c>
      <c r="F308" s="53">
        <v>2.025003050003E12</v>
      </c>
      <c r="G308" s="184" t="s">
        <v>247</v>
      </c>
      <c r="H308" s="184" t="str">
        <f t="shared" si="82"/>
        <v>AMAGÁ</v>
      </c>
      <c r="I308" s="184" t="s">
        <v>78</v>
      </c>
      <c r="J308" s="184" t="s">
        <v>1304</v>
      </c>
      <c r="K308" s="184"/>
      <c r="L308" s="184">
        <v>8.0</v>
      </c>
      <c r="M308" s="100">
        <v>3500.0</v>
      </c>
      <c r="N308" s="187">
        <v>0.0</v>
      </c>
      <c r="O308" s="113">
        <v>0.0</v>
      </c>
      <c r="P308" s="113">
        <v>0.0</v>
      </c>
      <c r="Q308" s="188">
        <f t="shared" si="2"/>
        <v>0</v>
      </c>
      <c r="R308" s="189">
        <v>0.0</v>
      </c>
      <c r="S308" s="189">
        <v>0.0</v>
      </c>
      <c r="T308" s="190">
        <f t="shared" si="3"/>
        <v>0</v>
      </c>
      <c r="U308" s="221" t="s">
        <v>220</v>
      </c>
      <c r="V308" s="221" t="s">
        <v>220</v>
      </c>
      <c r="W308" s="192"/>
      <c r="X308" s="193">
        <v>45768.0</v>
      </c>
      <c r="Y308" s="193">
        <v>46265.0</v>
      </c>
      <c r="Z308" s="194">
        <v>0.0</v>
      </c>
      <c r="AA308" s="194">
        <v>0.0</v>
      </c>
      <c r="AB308" s="193">
        <f t="shared" si="83"/>
        <v>46265</v>
      </c>
      <c r="AC308" s="66">
        <f t="shared" si="4"/>
        <v>-22</v>
      </c>
      <c r="AD308" s="55"/>
      <c r="AE308" s="55"/>
      <c r="AF308" s="55"/>
      <c r="AG308" s="55"/>
      <c r="AH308" s="86">
        <f t="shared" si="40"/>
        <v>0</v>
      </c>
      <c r="AI308" s="100">
        <f t="shared" si="80"/>
        <v>3500</v>
      </c>
      <c r="AJ308" s="280"/>
      <c r="AK308" s="280"/>
      <c r="AL308" s="280"/>
      <c r="AM308" s="280"/>
      <c r="AN308" s="280"/>
      <c r="AO308" s="280">
        <v>0.0</v>
      </c>
      <c r="AP308" s="178">
        <f t="shared" si="81"/>
        <v>3500</v>
      </c>
      <c r="AQ308" s="280">
        <v>0.0</v>
      </c>
      <c r="AR308" s="113">
        <f t="shared" si="79"/>
        <v>0</v>
      </c>
      <c r="AS308" s="113">
        <v>0.0</v>
      </c>
      <c r="AT308" s="224">
        <f t="shared" si="73"/>
        <v>1</v>
      </c>
      <c r="AU308" s="224" t="str">
        <f t="shared" si="23"/>
        <v>#DIV/0!</v>
      </c>
      <c r="AV308" s="184"/>
      <c r="AW308" s="74"/>
      <c r="AX308" s="214"/>
      <c r="AY308" s="215"/>
      <c r="AZ308" s="210"/>
      <c r="BA308" s="210"/>
      <c r="BB308" s="219"/>
      <c r="BC308" s="77"/>
      <c r="BD308" s="210"/>
      <c r="BE308" s="117"/>
      <c r="BF308" s="199"/>
      <c r="BG308" s="199"/>
      <c r="BH308" s="199"/>
    </row>
    <row r="309" ht="104.25" customHeight="1">
      <c r="A309" s="50">
        <v>308.0</v>
      </c>
      <c r="B309" s="463">
        <v>2025.0</v>
      </c>
      <c r="C309" s="464" t="s">
        <v>1255</v>
      </c>
      <c r="D309" s="465" t="s">
        <v>74</v>
      </c>
      <c r="E309" s="464" t="s">
        <v>1256</v>
      </c>
      <c r="F309" s="53">
        <v>2.025003050008E12</v>
      </c>
      <c r="G309" s="184" t="s">
        <v>938</v>
      </c>
      <c r="H309" s="184" t="str">
        <f t="shared" si="82"/>
        <v>TITIRIBÍ</v>
      </c>
      <c r="I309" s="184" t="s">
        <v>78</v>
      </c>
      <c r="J309" s="184" t="s">
        <v>1305</v>
      </c>
      <c r="K309" s="184"/>
      <c r="L309" s="184">
        <v>8.0</v>
      </c>
      <c r="M309" s="100">
        <v>1200.0</v>
      </c>
      <c r="N309" s="187">
        <v>0.0</v>
      </c>
      <c r="O309" s="113">
        <v>0.0</v>
      </c>
      <c r="P309" s="113">
        <v>0.0</v>
      </c>
      <c r="Q309" s="188">
        <f t="shared" si="2"/>
        <v>0</v>
      </c>
      <c r="R309" s="189">
        <v>0.0</v>
      </c>
      <c r="S309" s="189">
        <v>0.0</v>
      </c>
      <c r="T309" s="190">
        <f t="shared" si="3"/>
        <v>0</v>
      </c>
      <c r="U309" s="221" t="s">
        <v>220</v>
      </c>
      <c r="V309" s="221" t="s">
        <v>220</v>
      </c>
      <c r="W309" s="192"/>
      <c r="X309" s="193">
        <v>45818.0</v>
      </c>
      <c r="Y309" s="193">
        <v>46015.0</v>
      </c>
      <c r="Z309" s="194">
        <v>0.0</v>
      </c>
      <c r="AA309" s="194">
        <v>0.0</v>
      </c>
      <c r="AB309" s="193">
        <f t="shared" si="83"/>
        <v>46015</v>
      </c>
      <c r="AC309" s="66">
        <f t="shared" si="4"/>
        <v>-272</v>
      </c>
      <c r="AD309" s="55"/>
      <c r="AE309" s="55"/>
      <c r="AF309" s="55"/>
      <c r="AG309" s="55"/>
      <c r="AH309" s="86">
        <f t="shared" si="40"/>
        <v>0</v>
      </c>
      <c r="AI309" s="100">
        <f t="shared" si="80"/>
        <v>1200</v>
      </c>
      <c r="AJ309" s="280"/>
      <c r="AK309" s="280"/>
      <c r="AL309" s="280"/>
      <c r="AM309" s="280"/>
      <c r="AN309" s="280"/>
      <c r="AO309" s="280">
        <v>0.0</v>
      </c>
      <c r="AP309" s="178">
        <f t="shared" si="81"/>
        <v>1200</v>
      </c>
      <c r="AQ309" s="280">
        <v>0.0</v>
      </c>
      <c r="AR309" s="113">
        <f t="shared" si="79"/>
        <v>0</v>
      </c>
      <c r="AS309" s="113">
        <v>0.0</v>
      </c>
      <c r="AT309" s="224">
        <f t="shared" si="73"/>
        <v>1</v>
      </c>
      <c r="AU309" s="224" t="str">
        <f t="shared" si="23"/>
        <v>#DIV/0!</v>
      </c>
      <c r="AV309" s="184"/>
      <c r="AW309" s="74"/>
      <c r="AX309" s="214"/>
      <c r="AY309" s="215"/>
      <c r="AZ309" s="210"/>
      <c r="BA309" s="210"/>
      <c r="BB309" s="219"/>
      <c r="BC309" s="77"/>
      <c r="BD309" s="210"/>
      <c r="BE309" s="117"/>
      <c r="BF309" s="199"/>
      <c r="BG309" s="199"/>
      <c r="BH309" s="199"/>
    </row>
    <row r="310" ht="104.25" customHeight="1">
      <c r="A310" s="50">
        <v>309.0</v>
      </c>
      <c r="B310" s="463">
        <v>2025.0</v>
      </c>
      <c r="C310" s="464" t="s">
        <v>1255</v>
      </c>
      <c r="D310" s="465" t="s">
        <v>74</v>
      </c>
      <c r="E310" s="464" t="s">
        <v>1256</v>
      </c>
      <c r="F310" s="53">
        <v>2.025003050011E12</v>
      </c>
      <c r="G310" s="184" t="s">
        <v>98</v>
      </c>
      <c r="H310" s="184" t="str">
        <f t="shared" si="82"/>
        <v>PUERTO TRIUNFO</v>
      </c>
      <c r="I310" s="184" t="s">
        <v>93</v>
      </c>
      <c r="J310" s="184" t="s">
        <v>1306</v>
      </c>
      <c r="K310" s="184"/>
      <c r="L310" s="184">
        <v>8.0</v>
      </c>
      <c r="M310" s="100">
        <v>2000.0</v>
      </c>
      <c r="N310" s="187">
        <v>0.0</v>
      </c>
      <c r="O310" s="113">
        <v>0.0</v>
      </c>
      <c r="P310" s="113">
        <v>0.0</v>
      </c>
      <c r="Q310" s="188">
        <f t="shared" si="2"/>
        <v>0</v>
      </c>
      <c r="R310" s="189">
        <v>0.0</v>
      </c>
      <c r="S310" s="189">
        <v>0.0</v>
      </c>
      <c r="T310" s="190">
        <f t="shared" si="3"/>
        <v>0</v>
      </c>
      <c r="U310" s="221" t="s">
        <v>220</v>
      </c>
      <c r="V310" s="221" t="s">
        <v>220</v>
      </c>
      <c r="W310" s="192"/>
      <c r="X310" s="193">
        <v>45813.0</v>
      </c>
      <c r="Y310" s="193">
        <v>46103.0</v>
      </c>
      <c r="Z310" s="194">
        <v>0.0</v>
      </c>
      <c r="AA310" s="194">
        <v>0.0</v>
      </c>
      <c r="AB310" s="193">
        <f t="shared" si="83"/>
        <v>46103</v>
      </c>
      <c r="AC310" s="66">
        <f t="shared" si="4"/>
        <v>-184</v>
      </c>
      <c r="AD310" s="55"/>
      <c r="AE310" s="55"/>
      <c r="AF310" s="55"/>
      <c r="AG310" s="55"/>
      <c r="AH310" s="86">
        <f t="shared" si="40"/>
        <v>0</v>
      </c>
      <c r="AI310" s="100">
        <f t="shared" si="80"/>
        <v>2000</v>
      </c>
      <c r="AJ310" s="280"/>
      <c r="AK310" s="280"/>
      <c r="AL310" s="280"/>
      <c r="AM310" s="280"/>
      <c r="AN310" s="280"/>
      <c r="AO310" s="280">
        <v>0.0</v>
      </c>
      <c r="AP310" s="178">
        <f t="shared" si="81"/>
        <v>2000</v>
      </c>
      <c r="AQ310" s="280">
        <v>0.0</v>
      </c>
      <c r="AR310" s="113">
        <f t="shared" si="79"/>
        <v>0</v>
      </c>
      <c r="AS310" s="113">
        <v>0.0</v>
      </c>
      <c r="AT310" s="224">
        <f t="shared" si="73"/>
        <v>1</v>
      </c>
      <c r="AU310" s="224" t="str">
        <f t="shared" si="23"/>
        <v>#DIV/0!</v>
      </c>
      <c r="AV310" s="184"/>
      <c r="AW310" s="74"/>
      <c r="AX310" s="214"/>
      <c r="AY310" s="215"/>
      <c r="AZ310" s="210"/>
      <c r="BA310" s="210"/>
      <c r="BB310" s="219"/>
      <c r="BC310" s="77"/>
      <c r="BD310" s="210"/>
      <c r="BE310" s="117"/>
      <c r="BF310" s="199"/>
      <c r="BG310" s="199"/>
      <c r="BH310" s="199"/>
    </row>
    <row r="311" ht="104.25" customHeight="1">
      <c r="A311" s="50">
        <v>310.0</v>
      </c>
      <c r="B311" s="463">
        <v>2025.0</v>
      </c>
      <c r="C311" s="464" t="s">
        <v>1255</v>
      </c>
      <c r="D311" s="465" t="s">
        <v>74</v>
      </c>
      <c r="E311" s="464" t="s">
        <v>1256</v>
      </c>
      <c r="F311" s="53">
        <v>2.025003050005E12</v>
      </c>
      <c r="G311" s="184" t="s">
        <v>474</v>
      </c>
      <c r="H311" s="184" t="str">
        <f t="shared" si="82"/>
        <v>SOPETRÁN</v>
      </c>
      <c r="I311" s="184" t="s">
        <v>127</v>
      </c>
      <c r="J311" s="184" t="s">
        <v>1307</v>
      </c>
      <c r="K311" s="184"/>
      <c r="L311" s="184">
        <v>8.0</v>
      </c>
      <c r="M311" s="100">
        <v>1500.0</v>
      </c>
      <c r="N311" s="187">
        <v>0.0</v>
      </c>
      <c r="O311" s="113">
        <v>0.0</v>
      </c>
      <c r="P311" s="113">
        <v>0.0</v>
      </c>
      <c r="Q311" s="188">
        <f t="shared" si="2"/>
        <v>0</v>
      </c>
      <c r="R311" s="189">
        <v>0.0</v>
      </c>
      <c r="S311" s="189">
        <v>0.0</v>
      </c>
      <c r="T311" s="190">
        <f t="shared" si="3"/>
        <v>0</v>
      </c>
      <c r="U311" s="221" t="s">
        <v>220</v>
      </c>
      <c r="V311" s="221" t="s">
        <v>220</v>
      </c>
      <c r="W311" s="192"/>
      <c r="X311" s="193">
        <v>45811.0</v>
      </c>
      <c r="Y311" s="193">
        <v>46294.0</v>
      </c>
      <c r="Z311" s="194">
        <v>0.0</v>
      </c>
      <c r="AA311" s="194">
        <v>0.0</v>
      </c>
      <c r="AB311" s="193">
        <f t="shared" si="83"/>
        <v>46294</v>
      </c>
      <c r="AC311" s="66">
        <f t="shared" si="4"/>
        <v>7</v>
      </c>
      <c r="AD311" s="55"/>
      <c r="AE311" s="55"/>
      <c r="AF311" s="55"/>
      <c r="AG311" s="55"/>
      <c r="AH311" s="86">
        <f t="shared" si="40"/>
        <v>0</v>
      </c>
      <c r="AI311" s="100">
        <f t="shared" si="80"/>
        <v>1500</v>
      </c>
      <c r="AJ311" s="280"/>
      <c r="AK311" s="280"/>
      <c r="AL311" s="280"/>
      <c r="AM311" s="280"/>
      <c r="AN311" s="280"/>
      <c r="AO311" s="280">
        <v>0.0</v>
      </c>
      <c r="AP311" s="178">
        <f t="shared" si="81"/>
        <v>1500</v>
      </c>
      <c r="AQ311" s="280">
        <v>0.0</v>
      </c>
      <c r="AR311" s="113">
        <f t="shared" si="79"/>
        <v>0</v>
      </c>
      <c r="AS311" s="113">
        <v>0.0</v>
      </c>
      <c r="AT311" s="224">
        <f t="shared" si="73"/>
        <v>1</v>
      </c>
      <c r="AU311" s="224" t="str">
        <f t="shared" si="23"/>
        <v>#DIV/0!</v>
      </c>
      <c r="AV311" s="184"/>
      <c r="AW311" s="74"/>
      <c r="AX311" s="214"/>
      <c r="AY311" s="215"/>
      <c r="AZ311" s="210"/>
      <c r="BA311" s="210"/>
      <c r="BB311" s="219"/>
      <c r="BC311" s="77"/>
      <c r="BD311" s="210"/>
      <c r="BE311" s="117"/>
      <c r="BF311" s="199"/>
      <c r="BG311" s="199"/>
      <c r="BH311" s="199"/>
    </row>
    <row r="312" ht="104.25" customHeight="1">
      <c r="A312" s="50">
        <v>311.0</v>
      </c>
      <c r="B312" s="463">
        <v>2025.0</v>
      </c>
      <c r="C312" s="464" t="s">
        <v>1255</v>
      </c>
      <c r="D312" s="465" t="s">
        <v>74</v>
      </c>
      <c r="E312" s="464" t="s">
        <v>1256</v>
      </c>
      <c r="F312" s="53">
        <v>2.025003050014E12</v>
      </c>
      <c r="G312" s="184" t="s">
        <v>414</v>
      </c>
      <c r="H312" s="184" t="str">
        <f t="shared" si="82"/>
        <v>SAN JOSÉ DE LA MONTAÑA</v>
      </c>
      <c r="I312" s="184" t="s">
        <v>174</v>
      </c>
      <c r="J312" s="184" t="s">
        <v>1308</v>
      </c>
      <c r="K312" s="184"/>
      <c r="L312" s="184">
        <v>8.0</v>
      </c>
      <c r="M312" s="100">
        <v>750.0</v>
      </c>
      <c r="N312" s="187">
        <v>0.0</v>
      </c>
      <c r="O312" s="113">
        <v>0.0</v>
      </c>
      <c r="P312" s="113">
        <v>0.0</v>
      </c>
      <c r="Q312" s="188">
        <f t="shared" si="2"/>
        <v>0</v>
      </c>
      <c r="R312" s="189">
        <v>0.0</v>
      </c>
      <c r="S312" s="189">
        <v>0.0</v>
      </c>
      <c r="T312" s="190">
        <f t="shared" si="3"/>
        <v>0</v>
      </c>
      <c r="U312" s="221" t="s">
        <v>220</v>
      </c>
      <c r="V312" s="221" t="s">
        <v>220</v>
      </c>
      <c r="W312" s="192"/>
      <c r="X312" s="193">
        <v>45825.0</v>
      </c>
      <c r="Y312" s="193">
        <v>46112.0</v>
      </c>
      <c r="Z312" s="194">
        <v>0.0</v>
      </c>
      <c r="AA312" s="194">
        <v>0.0</v>
      </c>
      <c r="AB312" s="193">
        <f t="shared" si="83"/>
        <v>46112</v>
      </c>
      <c r="AC312" s="66">
        <f t="shared" si="4"/>
        <v>-175</v>
      </c>
      <c r="AD312" s="55"/>
      <c r="AE312" s="55"/>
      <c r="AF312" s="55"/>
      <c r="AG312" s="55"/>
      <c r="AH312" s="86">
        <f t="shared" si="40"/>
        <v>0</v>
      </c>
      <c r="AI312" s="100">
        <f t="shared" si="80"/>
        <v>750</v>
      </c>
      <c r="AJ312" s="280"/>
      <c r="AK312" s="280"/>
      <c r="AL312" s="280"/>
      <c r="AM312" s="280"/>
      <c r="AN312" s="280"/>
      <c r="AO312" s="280">
        <v>0.0</v>
      </c>
      <c r="AP312" s="178">
        <f t="shared" si="81"/>
        <v>750</v>
      </c>
      <c r="AQ312" s="280">
        <v>0.0</v>
      </c>
      <c r="AR312" s="113">
        <f t="shared" si="79"/>
        <v>0</v>
      </c>
      <c r="AS312" s="113">
        <v>0.0</v>
      </c>
      <c r="AT312" s="224">
        <f t="shared" si="73"/>
        <v>1</v>
      </c>
      <c r="AU312" s="224" t="str">
        <f t="shared" si="23"/>
        <v>#DIV/0!</v>
      </c>
      <c r="AV312" s="184"/>
      <c r="AW312" s="74"/>
      <c r="AX312" s="214"/>
      <c r="AY312" s="215"/>
      <c r="AZ312" s="210"/>
      <c r="BA312" s="210"/>
      <c r="BB312" s="219"/>
      <c r="BC312" s="77"/>
      <c r="BD312" s="210"/>
      <c r="BE312" s="117"/>
      <c r="BF312" s="199"/>
      <c r="BG312" s="199"/>
      <c r="BH312" s="199"/>
    </row>
    <row r="313" ht="104.25" customHeight="1">
      <c r="A313" s="50">
        <v>312.0</v>
      </c>
      <c r="B313" s="463">
        <v>2025.0</v>
      </c>
      <c r="C313" s="464" t="s">
        <v>1255</v>
      </c>
      <c r="D313" s="465" t="s">
        <v>74</v>
      </c>
      <c r="E313" s="464" t="s">
        <v>1256</v>
      </c>
      <c r="F313" s="53">
        <v>2.025003050012E12</v>
      </c>
      <c r="G313" s="184" t="s">
        <v>281</v>
      </c>
      <c r="H313" s="184" t="str">
        <f t="shared" si="82"/>
        <v>EL PEÑOL</v>
      </c>
      <c r="I313" s="184" t="s">
        <v>174</v>
      </c>
      <c r="J313" s="184" t="s">
        <v>1309</v>
      </c>
      <c r="K313" s="184"/>
      <c r="L313" s="184">
        <v>8.0</v>
      </c>
      <c r="M313" s="100">
        <v>2000.0</v>
      </c>
      <c r="N313" s="187">
        <v>0.0</v>
      </c>
      <c r="O313" s="113">
        <v>0.0</v>
      </c>
      <c r="P313" s="113">
        <v>0.0</v>
      </c>
      <c r="Q313" s="188">
        <f t="shared" si="2"/>
        <v>0</v>
      </c>
      <c r="R313" s="189">
        <v>0.0</v>
      </c>
      <c r="S313" s="189">
        <v>0.0</v>
      </c>
      <c r="T313" s="190">
        <f t="shared" si="3"/>
        <v>0</v>
      </c>
      <c r="U313" s="221" t="s">
        <v>220</v>
      </c>
      <c r="V313" s="221" t="s">
        <v>220</v>
      </c>
      <c r="W313" s="192"/>
      <c r="X313" s="193">
        <v>45826.0</v>
      </c>
      <c r="Y313" s="193">
        <v>46293.0</v>
      </c>
      <c r="Z313" s="194">
        <v>0.0</v>
      </c>
      <c r="AA313" s="194">
        <v>0.0</v>
      </c>
      <c r="AB313" s="193">
        <f t="shared" si="83"/>
        <v>46293</v>
      </c>
      <c r="AC313" s="66">
        <f t="shared" si="4"/>
        <v>6</v>
      </c>
      <c r="AD313" s="55"/>
      <c r="AE313" s="55"/>
      <c r="AF313" s="55"/>
      <c r="AG313" s="55"/>
      <c r="AH313" s="86">
        <f t="shared" si="40"/>
        <v>0</v>
      </c>
      <c r="AI313" s="100">
        <f t="shared" si="80"/>
        <v>2000</v>
      </c>
      <c r="AJ313" s="280"/>
      <c r="AK313" s="280"/>
      <c r="AL313" s="280"/>
      <c r="AM313" s="280"/>
      <c r="AN313" s="280"/>
      <c r="AO313" s="280">
        <v>0.0</v>
      </c>
      <c r="AP313" s="178">
        <f t="shared" si="81"/>
        <v>2000</v>
      </c>
      <c r="AQ313" s="280">
        <v>0.0</v>
      </c>
      <c r="AR313" s="113">
        <f t="shared" si="79"/>
        <v>0</v>
      </c>
      <c r="AS313" s="113">
        <v>0.0</v>
      </c>
      <c r="AT313" s="224">
        <f t="shared" si="73"/>
        <v>1</v>
      </c>
      <c r="AU313" s="224" t="str">
        <f t="shared" si="23"/>
        <v>#DIV/0!</v>
      </c>
      <c r="AV313" s="184"/>
      <c r="AW313" s="74"/>
      <c r="AX313" s="214"/>
      <c r="AY313" s="215"/>
      <c r="AZ313" s="210"/>
      <c r="BA313" s="210"/>
      <c r="BB313" s="219"/>
      <c r="BC313" s="77"/>
      <c r="BD313" s="210"/>
      <c r="BE313" s="117"/>
      <c r="BF313" s="199"/>
      <c r="BG313" s="199"/>
      <c r="BH313" s="199"/>
    </row>
    <row r="314" ht="104.25" customHeight="1">
      <c r="A314" s="50">
        <v>313.0</v>
      </c>
      <c r="B314" s="463">
        <v>2025.0</v>
      </c>
      <c r="C314" s="464" t="s">
        <v>1255</v>
      </c>
      <c r="D314" s="465" t="s">
        <v>74</v>
      </c>
      <c r="E314" s="464" t="s">
        <v>1256</v>
      </c>
      <c r="F314" s="53">
        <v>2.025003050015E12</v>
      </c>
      <c r="G314" s="111" t="s">
        <v>190</v>
      </c>
      <c r="H314" s="111" t="s">
        <v>190</v>
      </c>
      <c r="I314" s="184" t="s">
        <v>174</v>
      </c>
      <c r="J314" s="184" t="s">
        <v>1310</v>
      </c>
      <c r="K314" s="184"/>
      <c r="L314" s="184">
        <v>8.0</v>
      </c>
      <c r="M314" s="100">
        <v>1900.0</v>
      </c>
      <c r="N314" s="187">
        <v>0.0</v>
      </c>
      <c r="O314" s="113">
        <v>0.0</v>
      </c>
      <c r="P314" s="113">
        <v>0.0</v>
      </c>
      <c r="Q314" s="188">
        <f t="shared" si="2"/>
        <v>0</v>
      </c>
      <c r="R314" s="189">
        <v>0.0</v>
      </c>
      <c r="S314" s="189">
        <v>0.0</v>
      </c>
      <c r="T314" s="190">
        <f t="shared" si="3"/>
        <v>0</v>
      </c>
      <c r="U314" s="221" t="s">
        <v>220</v>
      </c>
      <c r="V314" s="221" t="s">
        <v>220</v>
      </c>
      <c r="W314" s="192"/>
      <c r="X314" s="193">
        <v>45824.0</v>
      </c>
      <c r="Y314" s="193">
        <v>46012.0</v>
      </c>
      <c r="Z314" s="194">
        <v>0.0</v>
      </c>
      <c r="AA314" s="194">
        <v>0.0</v>
      </c>
      <c r="AB314" s="193">
        <f t="shared" si="83"/>
        <v>46012</v>
      </c>
      <c r="AC314" s="66">
        <f t="shared" si="4"/>
        <v>-275</v>
      </c>
      <c r="AD314" s="55"/>
      <c r="AE314" s="55"/>
      <c r="AF314" s="55"/>
      <c r="AG314" s="55"/>
      <c r="AH314" s="86">
        <f t="shared" si="40"/>
        <v>0</v>
      </c>
      <c r="AI314" s="100">
        <f t="shared" si="80"/>
        <v>1900</v>
      </c>
      <c r="AJ314" s="280"/>
      <c r="AK314" s="280"/>
      <c r="AL314" s="280"/>
      <c r="AM314" s="280"/>
      <c r="AN314" s="280"/>
      <c r="AO314" s="280">
        <v>0.0</v>
      </c>
      <c r="AP314" s="178">
        <f t="shared" si="81"/>
        <v>1900</v>
      </c>
      <c r="AQ314" s="280">
        <v>0.0</v>
      </c>
      <c r="AR314" s="113">
        <f t="shared" si="79"/>
        <v>0</v>
      </c>
      <c r="AS314" s="113">
        <v>0.0</v>
      </c>
      <c r="AT314" s="224">
        <f t="shared" si="73"/>
        <v>1</v>
      </c>
      <c r="AU314" s="224" t="str">
        <f t="shared" si="23"/>
        <v>#DIV/0!</v>
      </c>
      <c r="AV314" s="184"/>
      <c r="AW314" s="74"/>
      <c r="AX314" s="214"/>
      <c r="AY314" s="215"/>
      <c r="AZ314" s="210"/>
      <c r="BA314" s="210"/>
      <c r="BB314" s="219"/>
      <c r="BC314" s="77"/>
      <c r="BD314" s="210"/>
      <c r="BE314" s="117"/>
      <c r="BF314" s="199"/>
      <c r="BG314" s="199"/>
      <c r="BH314" s="199"/>
    </row>
    <row r="315" ht="104.25" customHeight="1">
      <c r="A315" s="50">
        <v>314.0</v>
      </c>
      <c r="B315" s="463">
        <v>2025.0</v>
      </c>
      <c r="C315" s="464" t="s">
        <v>1255</v>
      </c>
      <c r="D315" s="465" t="s">
        <v>74</v>
      </c>
      <c r="E315" s="464" t="s">
        <v>1256</v>
      </c>
      <c r="F315" s="53">
        <v>2.025003050013E12</v>
      </c>
      <c r="G315" s="184" t="s">
        <v>1311</v>
      </c>
      <c r="H315" s="184" t="str">
        <f t="shared" ref="H315:H360" si="84">G315</f>
        <v>CAUCASIA</v>
      </c>
      <c r="I315" s="184" t="s">
        <v>85</v>
      </c>
      <c r="J315" s="184" t="s">
        <v>1312</v>
      </c>
      <c r="K315" s="184"/>
      <c r="L315" s="184">
        <v>8.0</v>
      </c>
      <c r="M315" s="100">
        <v>1000.0</v>
      </c>
      <c r="N315" s="187">
        <v>0.0</v>
      </c>
      <c r="O315" s="113">
        <v>0.0</v>
      </c>
      <c r="P315" s="113">
        <v>0.0</v>
      </c>
      <c r="Q315" s="188">
        <f t="shared" si="2"/>
        <v>0</v>
      </c>
      <c r="R315" s="189">
        <v>0.0</v>
      </c>
      <c r="S315" s="189">
        <v>0.0</v>
      </c>
      <c r="T315" s="190">
        <f t="shared" si="3"/>
        <v>0</v>
      </c>
      <c r="U315" s="221" t="s">
        <v>220</v>
      </c>
      <c r="V315" s="221" t="s">
        <v>220</v>
      </c>
      <c r="W315" s="192"/>
      <c r="X315" s="193">
        <v>45853.0</v>
      </c>
      <c r="Y315" s="193">
        <v>46186.0</v>
      </c>
      <c r="Z315" s="194">
        <v>0.0</v>
      </c>
      <c r="AA315" s="194">
        <v>0.0</v>
      </c>
      <c r="AB315" s="193">
        <f t="shared" si="83"/>
        <v>46186</v>
      </c>
      <c r="AC315" s="66">
        <f t="shared" si="4"/>
        <v>-101</v>
      </c>
      <c r="AD315" s="55"/>
      <c r="AE315" s="55"/>
      <c r="AF315" s="55"/>
      <c r="AG315" s="55"/>
      <c r="AH315" s="86">
        <f t="shared" si="40"/>
        <v>0</v>
      </c>
      <c r="AI315" s="27">
        <f t="shared" si="80"/>
        <v>1000</v>
      </c>
      <c r="AJ315" s="51"/>
      <c r="AK315" s="280"/>
      <c r="AL315" s="280"/>
      <c r="AM315" s="280"/>
      <c r="AN315" s="280"/>
      <c r="AO315" s="280">
        <v>0.0</v>
      </c>
      <c r="AP315" s="178">
        <f t="shared" si="81"/>
        <v>1000</v>
      </c>
      <c r="AQ315" s="280">
        <v>0.0</v>
      </c>
      <c r="AR315" s="113">
        <f t="shared" si="79"/>
        <v>0</v>
      </c>
      <c r="AS315" s="113">
        <v>0.0</v>
      </c>
      <c r="AT315" s="224">
        <f t="shared" si="73"/>
        <v>1</v>
      </c>
      <c r="AU315" s="224" t="str">
        <f t="shared" si="23"/>
        <v>#DIV/0!</v>
      </c>
      <c r="AV315" s="184"/>
      <c r="AW315" s="74"/>
      <c r="AX315" s="214"/>
      <c r="AY315" s="215"/>
      <c r="AZ315" s="210"/>
      <c r="BA315" s="210"/>
      <c r="BB315" s="219"/>
      <c r="BC315" s="77"/>
      <c r="BD315" s="210"/>
      <c r="BE315" s="117"/>
      <c r="BF315" s="199"/>
      <c r="BG315" s="199"/>
      <c r="BH315" s="199"/>
    </row>
    <row r="316" ht="104.25" customHeight="1">
      <c r="A316" s="50">
        <v>315.0</v>
      </c>
      <c r="B316" s="463">
        <v>2025.0</v>
      </c>
      <c r="C316" s="464" t="s">
        <v>1255</v>
      </c>
      <c r="D316" s="465" t="s">
        <v>74</v>
      </c>
      <c r="E316" s="464" t="s">
        <v>1256</v>
      </c>
      <c r="F316" s="53">
        <v>2.025003050022E12</v>
      </c>
      <c r="G316" s="184" t="s">
        <v>196</v>
      </c>
      <c r="H316" s="184" t="str">
        <f t="shared" si="84"/>
        <v>SAN FRANCISCO</v>
      </c>
      <c r="I316" s="184" t="s">
        <v>120</v>
      </c>
      <c r="J316" s="184" t="s">
        <v>1313</v>
      </c>
      <c r="K316" s="184"/>
      <c r="L316" s="184">
        <v>8.0</v>
      </c>
      <c r="M316" s="100">
        <v>2000.0</v>
      </c>
      <c r="N316" s="187">
        <v>0.0</v>
      </c>
      <c r="O316" s="113">
        <v>0.0</v>
      </c>
      <c r="P316" s="113">
        <v>0.0</v>
      </c>
      <c r="Q316" s="188">
        <f t="shared" si="2"/>
        <v>0</v>
      </c>
      <c r="R316" s="189">
        <v>0.0</v>
      </c>
      <c r="S316" s="189">
        <v>0.0</v>
      </c>
      <c r="T316" s="190">
        <f t="shared" si="3"/>
        <v>0</v>
      </c>
      <c r="U316" s="221" t="s">
        <v>220</v>
      </c>
      <c r="V316" s="221" t="s">
        <v>220</v>
      </c>
      <c r="W316" s="192"/>
      <c r="X316" s="193">
        <v>45874.0</v>
      </c>
      <c r="Y316" s="193">
        <v>46295.0</v>
      </c>
      <c r="Z316" s="194">
        <v>0.0</v>
      </c>
      <c r="AA316" s="194">
        <v>0.0</v>
      </c>
      <c r="AB316" s="193">
        <f t="shared" si="83"/>
        <v>46295</v>
      </c>
      <c r="AC316" s="66">
        <f t="shared" si="4"/>
        <v>8</v>
      </c>
      <c r="AD316" s="55"/>
      <c r="AE316" s="55"/>
      <c r="AF316" s="55"/>
      <c r="AG316" s="55"/>
      <c r="AH316" s="86">
        <f t="shared" si="40"/>
        <v>0</v>
      </c>
      <c r="AI316" s="100">
        <f t="shared" si="80"/>
        <v>2000</v>
      </c>
      <c r="AJ316" s="280"/>
      <c r="AK316" s="280"/>
      <c r="AL316" s="280"/>
      <c r="AM316" s="280"/>
      <c r="AN316" s="280"/>
      <c r="AO316" s="280">
        <v>0.0</v>
      </c>
      <c r="AP316" s="178">
        <f t="shared" si="81"/>
        <v>2000</v>
      </c>
      <c r="AQ316" s="280">
        <v>0.0</v>
      </c>
      <c r="AR316" s="113">
        <f t="shared" si="79"/>
        <v>0</v>
      </c>
      <c r="AS316" s="113">
        <v>0.0</v>
      </c>
      <c r="AT316" s="224">
        <f t="shared" si="73"/>
        <v>1</v>
      </c>
      <c r="AU316" s="224" t="str">
        <f t="shared" si="23"/>
        <v>#DIV/0!</v>
      </c>
      <c r="AV316" s="184"/>
      <c r="AW316" s="74"/>
      <c r="AX316" s="214"/>
      <c r="AY316" s="215"/>
      <c r="AZ316" s="210"/>
      <c r="BA316" s="210"/>
      <c r="BB316" s="219"/>
      <c r="BC316" s="77"/>
      <c r="BD316" s="210"/>
      <c r="BE316" s="117"/>
      <c r="BF316" s="199"/>
      <c r="BG316" s="199"/>
      <c r="BH316" s="199"/>
    </row>
    <row r="317" ht="104.25" customHeight="1">
      <c r="A317" s="50">
        <v>316.0</v>
      </c>
      <c r="B317" s="463">
        <v>2025.0</v>
      </c>
      <c r="C317" s="464" t="s">
        <v>1255</v>
      </c>
      <c r="D317" s="465" t="s">
        <v>74</v>
      </c>
      <c r="E317" s="464" t="s">
        <v>1256</v>
      </c>
      <c r="F317" s="53">
        <v>2.025003050017E12</v>
      </c>
      <c r="G317" s="184" t="s">
        <v>409</v>
      </c>
      <c r="H317" s="184" t="str">
        <f t="shared" si="84"/>
        <v>DON MATÍAS</v>
      </c>
      <c r="I317" s="184" t="s">
        <v>174</v>
      </c>
      <c r="J317" s="184" t="s">
        <v>1314</v>
      </c>
      <c r="K317" s="184"/>
      <c r="L317" s="184">
        <v>8.0</v>
      </c>
      <c r="M317" s="100">
        <v>1950.0</v>
      </c>
      <c r="N317" s="187">
        <v>0.0</v>
      </c>
      <c r="O317" s="113">
        <v>0.0</v>
      </c>
      <c r="P317" s="113">
        <v>0.0</v>
      </c>
      <c r="Q317" s="188">
        <f t="shared" si="2"/>
        <v>0</v>
      </c>
      <c r="R317" s="189">
        <v>0.0</v>
      </c>
      <c r="S317" s="189">
        <v>0.0</v>
      </c>
      <c r="T317" s="190">
        <f t="shared" si="3"/>
        <v>0</v>
      </c>
      <c r="U317" s="221" t="s">
        <v>220</v>
      </c>
      <c r="V317" s="221" t="s">
        <v>220</v>
      </c>
      <c r="W317" s="192"/>
      <c r="X317" s="193">
        <v>45854.0</v>
      </c>
      <c r="Y317" s="193">
        <v>46230.0</v>
      </c>
      <c r="Z317" s="194">
        <v>0.0</v>
      </c>
      <c r="AA317" s="194">
        <v>0.0</v>
      </c>
      <c r="AB317" s="193">
        <f t="shared" si="83"/>
        <v>46230</v>
      </c>
      <c r="AC317" s="66">
        <f t="shared" si="4"/>
        <v>-57</v>
      </c>
      <c r="AD317" s="55"/>
      <c r="AE317" s="55"/>
      <c r="AF317" s="55"/>
      <c r="AG317" s="55"/>
      <c r="AH317" s="86">
        <f t="shared" si="40"/>
        <v>0</v>
      </c>
      <c r="AI317" s="100">
        <f t="shared" si="80"/>
        <v>1950</v>
      </c>
      <c r="AJ317" s="280"/>
      <c r="AK317" s="280"/>
      <c r="AL317" s="280"/>
      <c r="AM317" s="280"/>
      <c r="AN317" s="280"/>
      <c r="AO317" s="280">
        <v>0.0</v>
      </c>
      <c r="AP317" s="178">
        <f t="shared" si="81"/>
        <v>1950</v>
      </c>
      <c r="AQ317" s="280">
        <v>0.0</v>
      </c>
      <c r="AR317" s="113">
        <f t="shared" si="79"/>
        <v>0</v>
      </c>
      <c r="AS317" s="113">
        <v>0.0</v>
      </c>
      <c r="AT317" s="224">
        <f t="shared" si="73"/>
        <v>1</v>
      </c>
      <c r="AU317" s="224" t="str">
        <f t="shared" si="23"/>
        <v>#DIV/0!</v>
      </c>
      <c r="AV317" s="184"/>
      <c r="AW317" s="74"/>
      <c r="AX317" s="214"/>
      <c r="AY317" s="215"/>
      <c r="AZ317" s="210"/>
      <c r="BA317" s="210"/>
      <c r="BB317" s="219"/>
      <c r="BC317" s="77"/>
      <c r="BD317" s="210"/>
      <c r="BE317" s="117"/>
      <c r="BF317" s="199"/>
      <c r="BG317" s="199"/>
      <c r="BH317" s="199"/>
    </row>
    <row r="318" ht="104.25" customHeight="1">
      <c r="A318" s="50">
        <v>317.0</v>
      </c>
      <c r="B318" s="463">
        <v>2025.0</v>
      </c>
      <c r="C318" s="464" t="s">
        <v>1255</v>
      </c>
      <c r="D318" s="465" t="s">
        <v>74</v>
      </c>
      <c r="E318" s="464" t="s">
        <v>1256</v>
      </c>
      <c r="F318" s="53">
        <v>2.02500305002E12</v>
      </c>
      <c r="G318" s="184" t="s">
        <v>217</v>
      </c>
      <c r="H318" s="184" t="str">
        <f t="shared" si="84"/>
        <v>MARINILLA</v>
      </c>
      <c r="I318" s="184" t="s">
        <v>120</v>
      </c>
      <c r="J318" s="184" t="s">
        <v>1315</v>
      </c>
      <c r="K318" s="184"/>
      <c r="L318" s="184">
        <v>8.0</v>
      </c>
      <c r="M318" s="100">
        <v>2000.0</v>
      </c>
      <c r="N318" s="187">
        <v>0.0</v>
      </c>
      <c r="O318" s="113">
        <v>0.0</v>
      </c>
      <c r="P318" s="113">
        <v>0.0</v>
      </c>
      <c r="Q318" s="188">
        <f t="shared" si="2"/>
        <v>0</v>
      </c>
      <c r="R318" s="189">
        <v>0.0</v>
      </c>
      <c r="S318" s="189">
        <v>0.0</v>
      </c>
      <c r="T318" s="190">
        <f t="shared" si="3"/>
        <v>0</v>
      </c>
      <c r="U318" s="221" t="s">
        <v>220</v>
      </c>
      <c r="V318" s="221" t="s">
        <v>220</v>
      </c>
      <c r="W318" s="192"/>
      <c r="X318" s="193">
        <v>45874.0</v>
      </c>
      <c r="Y318" s="193">
        <v>46162.0</v>
      </c>
      <c r="Z318" s="194">
        <v>0.0</v>
      </c>
      <c r="AA318" s="194">
        <v>0.0</v>
      </c>
      <c r="AB318" s="193">
        <f t="shared" si="83"/>
        <v>46162</v>
      </c>
      <c r="AC318" s="66">
        <f t="shared" si="4"/>
        <v>-125</v>
      </c>
      <c r="AD318" s="55"/>
      <c r="AE318" s="55"/>
      <c r="AF318" s="55"/>
      <c r="AG318" s="55"/>
      <c r="AH318" s="86">
        <f t="shared" si="40"/>
        <v>0</v>
      </c>
      <c r="AI318" s="100">
        <f t="shared" si="80"/>
        <v>2000</v>
      </c>
      <c r="AJ318" s="280"/>
      <c r="AK318" s="280"/>
      <c r="AL318" s="280"/>
      <c r="AM318" s="280"/>
      <c r="AN318" s="280"/>
      <c r="AO318" s="280">
        <v>0.0</v>
      </c>
      <c r="AP318" s="178">
        <f t="shared" si="81"/>
        <v>2000</v>
      </c>
      <c r="AQ318" s="280">
        <v>0.0</v>
      </c>
      <c r="AR318" s="113">
        <f t="shared" si="79"/>
        <v>0</v>
      </c>
      <c r="AS318" s="113">
        <v>0.0</v>
      </c>
      <c r="AT318" s="224">
        <f t="shared" si="73"/>
        <v>1</v>
      </c>
      <c r="AU318" s="224" t="str">
        <f t="shared" si="23"/>
        <v>#DIV/0!</v>
      </c>
      <c r="AV318" s="184"/>
      <c r="AW318" s="74"/>
      <c r="AX318" s="214"/>
      <c r="AY318" s="215"/>
      <c r="AZ318" s="210"/>
      <c r="BA318" s="210"/>
      <c r="BB318" s="219"/>
      <c r="BC318" s="77"/>
      <c r="BD318" s="210"/>
      <c r="BE318" s="117"/>
      <c r="BF318" s="199"/>
      <c r="BG318" s="199"/>
      <c r="BH318" s="199"/>
    </row>
    <row r="319" ht="104.25" customHeight="1">
      <c r="A319" s="50">
        <v>318.0</v>
      </c>
      <c r="B319" s="463">
        <v>2025.0</v>
      </c>
      <c r="C319" s="464" t="s">
        <v>1255</v>
      </c>
      <c r="D319" s="465" t="s">
        <v>74</v>
      </c>
      <c r="E319" s="464" t="s">
        <v>1256</v>
      </c>
      <c r="F319" s="53">
        <v>2.02500305001E12</v>
      </c>
      <c r="G319" s="184" t="s">
        <v>369</v>
      </c>
      <c r="H319" s="184" t="str">
        <f t="shared" si="84"/>
        <v>SAN JUAN DE URABÁ</v>
      </c>
      <c r="I319" s="184" t="s">
        <v>61</v>
      </c>
      <c r="J319" s="184" t="s">
        <v>1316</v>
      </c>
      <c r="K319" s="184"/>
      <c r="L319" s="184">
        <v>8.0</v>
      </c>
      <c r="M319" s="100">
        <v>1000.0</v>
      </c>
      <c r="N319" s="187">
        <v>0.0</v>
      </c>
      <c r="O319" s="113">
        <v>0.0</v>
      </c>
      <c r="P319" s="113">
        <v>0.0</v>
      </c>
      <c r="Q319" s="188">
        <f t="shared" si="2"/>
        <v>0</v>
      </c>
      <c r="R319" s="189">
        <v>0.0</v>
      </c>
      <c r="S319" s="189">
        <v>0.0</v>
      </c>
      <c r="T319" s="190">
        <f t="shared" si="3"/>
        <v>0</v>
      </c>
      <c r="U319" s="221" t="s">
        <v>220</v>
      </c>
      <c r="V319" s="221" t="s">
        <v>220</v>
      </c>
      <c r="W319" s="192"/>
      <c r="X319" s="193">
        <v>45874.0</v>
      </c>
      <c r="Y319" s="193">
        <v>46265.0</v>
      </c>
      <c r="Z319" s="194">
        <v>0.0</v>
      </c>
      <c r="AA319" s="194">
        <v>0.0</v>
      </c>
      <c r="AB319" s="193">
        <f t="shared" si="83"/>
        <v>46265</v>
      </c>
      <c r="AC319" s="66">
        <f t="shared" si="4"/>
        <v>-22</v>
      </c>
      <c r="AD319" s="55"/>
      <c r="AE319" s="55"/>
      <c r="AF319" s="55"/>
      <c r="AG319" s="55"/>
      <c r="AH319" s="86">
        <f t="shared" si="40"/>
        <v>0</v>
      </c>
      <c r="AI319" s="27">
        <f t="shared" si="80"/>
        <v>1000</v>
      </c>
      <c r="AJ319" s="51"/>
      <c r="AK319" s="280"/>
      <c r="AL319" s="280"/>
      <c r="AM319" s="280"/>
      <c r="AN319" s="280"/>
      <c r="AO319" s="280">
        <v>0.0</v>
      </c>
      <c r="AP319" s="178">
        <f t="shared" si="81"/>
        <v>1000</v>
      </c>
      <c r="AQ319" s="280">
        <v>0.0</v>
      </c>
      <c r="AR319" s="113">
        <f t="shared" si="79"/>
        <v>0</v>
      </c>
      <c r="AS319" s="113">
        <v>0.0</v>
      </c>
      <c r="AT319" s="224">
        <f t="shared" si="73"/>
        <v>1</v>
      </c>
      <c r="AU319" s="224" t="str">
        <f t="shared" si="23"/>
        <v>#DIV/0!</v>
      </c>
      <c r="AV319" s="184"/>
      <c r="AW319" s="74"/>
      <c r="AX319" s="214"/>
      <c r="AY319" s="215"/>
      <c r="AZ319" s="210"/>
      <c r="BA319" s="210"/>
      <c r="BB319" s="219"/>
      <c r="BC319" s="77"/>
      <c r="BD319" s="210"/>
      <c r="BE319" s="117"/>
      <c r="BF319" s="199"/>
      <c r="BG319" s="199"/>
      <c r="BH319" s="199"/>
    </row>
    <row r="320" ht="104.25" customHeight="1">
      <c r="A320" s="50">
        <v>319.0</v>
      </c>
      <c r="B320" s="463">
        <v>2025.0</v>
      </c>
      <c r="C320" s="464" t="s">
        <v>1255</v>
      </c>
      <c r="D320" s="465" t="s">
        <v>74</v>
      </c>
      <c r="E320" s="464" t="s">
        <v>1256</v>
      </c>
      <c r="F320" s="53">
        <v>2.025003050021E12</v>
      </c>
      <c r="G320" s="184" t="s">
        <v>305</v>
      </c>
      <c r="H320" s="184" t="str">
        <f t="shared" si="84"/>
        <v>SAN RAFAEL</v>
      </c>
      <c r="I320" s="184" t="s">
        <v>120</v>
      </c>
      <c r="J320" s="184" t="s">
        <v>1317</v>
      </c>
      <c r="K320" s="184"/>
      <c r="L320" s="184">
        <v>8.0</v>
      </c>
      <c r="M320" s="100">
        <v>2000.0</v>
      </c>
      <c r="N320" s="187">
        <v>0.0</v>
      </c>
      <c r="O320" s="113">
        <v>0.0</v>
      </c>
      <c r="P320" s="113">
        <v>0.0</v>
      </c>
      <c r="Q320" s="188">
        <f t="shared" si="2"/>
        <v>0</v>
      </c>
      <c r="R320" s="189">
        <v>0.0</v>
      </c>
      <c r="S320" s="189">
        <v>0.0</v>
      </c>
      <c r="T320" s="190">
        <f t="shared" si="3"/>
        <v>0</v>
      </c>
      <c r="U320" s="221" t="s">
        <v>220</v>
      </c>
      <c r="V320" s="221" t="s">
        <v>220</v>
      </c>
      <c r="W320" s="192"/>
      <c r="X320" s="193">
        <v>45909.0</v>
      </c>
      <c r="Y320" s="193">
        <v>46233.0</v>
      </c>
      <c r="Z320" s="194">
        <v>0.0</v>
      </c>
      <c r="AA320" s="194">
        <v>0.0</v>
      </c>
      <c r="AB320" s="193">
        <f t="shared" si="83"/>
        <v>46233</v>
      </c>
      <c r="AC320" s="66">
        <f t="shared" si="4"/>
        <v>-54</v>
      </c>
      <c r="AD320" s="55"/>
      <c r="AE320" s="55"/>
      <c r="AF320" s="55"/>
      <c r="AG320" s="55"/>
      <c r="AH320" s="86">
        <f t="shared" si="40"/>
        <v>0</v>
      </c>
      <c r="AI320" s="100">
        <f t="shared" si="80"/>
        <v>2000</v>
      </c>
      <c r="AJ320" s="280"/>
      <c r="AK320" s="280"/>
      <c r="AL320" s="280"/>
      <c r="AM320" s="280"/>
      <c r="AN320" s="280"/>
      <c r="AO320" s="280">
        <v>0.0</v>
      </c>
      <c r="AP320" s="178">
        <f t="shared" si="81"/>
        <v>2000</v>
      </c>
      <c r="AQ320" s="280">
        <v>0.0</v>
      </c>
      <c r="AR320" s="113">
        <f t="shared" si="79"/>
        <v>0</v>
      </c>
      <c r="AS320" s="113">
        <v>0.0</v>
      </c>
      <c r="AT320" s="224">
        <f t="shared" si="73"/>
        <v>1</v>
      </c>
      <c r="AU320" s="224" t="str">
        <f t="shared" si="23"/>
        <v>#DIV/0!</v>
      </c>
      <c r="AV320" s="184"/>
      <c r="AW320" s="74"/>
      <c r="AX320" s="214"/>
      <c r="AY320" s="215"/>
      <c r="AZ320" s="210"/>
      <c r="BA320" s="210"/>
      <c r="BB320" s="219"/>
      <c r="BC320" s="77"/>
      <c r="BD320" s="210"/>
      <c r="BE320" s="117"/>
      <c r="BF320" s="199"/>
      <c r="BG320" s="199"/>
      <c r="BH320" s="199"/>
    </row>
    <row r="321" ht="104.25" customHeight="1">
      <c r="A321" s="50">
        <v>320.0</v>
      </c>
      <c r="B321" s="463">
        <v>2025.0</v>
      </c>
      <c r="C321" s="464" t="s">
        <v>1255</v>
      </c>
      <c r="D321" s="465" t="s">
        <v>74</v>
      </c>
      <c r="E321" s="464" t="s">
        <v>1256</v>
      </c>
      <c r="F321" s="53">
        <v>2.025003050023E12</v>
      </c>
      <c r="G321" s="184" t="s">
        <v>963</v>
      </c>
      <c r="H321" s="184" t="str">
        <f t="shared" si="84"/>
        <v>CARAMANTA</v>
      </c>
      <c r="I321" s="184" t="s">
        <v>78</v>
      </c>
      <c r="J321" s="184" t="s">
        <v>1318</v>
      </c>
      <c r="K321" s="184"/>
      <c r="L321" s="184">
        <v>8.0</v>
      </c>
      <c r="M321" s="100">
        <v>2000.0</v>
      </c>
      <c r="N321" s="187">
        <v>0.0</v>
      </c>
      <c r="O321" s="113">
        <v>0.0</v>
      </c>
      <c r="P321" s="113">
        <v>0.0</v>
      </c>
      <c r="Q321" s="188">
        <f t="shared" si="2"/>
        <v>0</v>
      </c>
      <c r="R321" s="189">
        <v>0.0</v>
      </c>
      <c r="S321" s="189">
        <v>0.0</v>
      </c>
      <c r="T321" s="190">
        <f t="shared" si="3"/>
        <v>0</v>
      </c>
      <c r="U321" s="221" t="s">
        <v>220</v>
      </c>
      <c r="V321" s="221" t="s">
        <v>220</v>
      </c>
      <c r="W321" s="192"/>
      <c r="X321" s="193">
        <v>45944.0</v>
      </c>
      <c r="Y321" s="193">
        <v>46196.0</v>
      </c>
      <c r="Z321" s="194">
        <v>0.0</v>
      </c>
      <c r="AA321" s="194">
        <v>0.0</v>
      </c>
      <c r="AB321" s="193">
        <f t="shared" si="83"/>
        <v>46196</v>
      </c>
      <c r="AC321" s="66">
        <f t="shared" si="4"/>
        <v>-91</v>
      </c>
      <c r="AD321" s="55"/>
      <c r="AE321" s="55"/>
      <c r="AF321" s="55"/>
      <c r="AG321" s="55"/>
      <c r="AH321" s="86">
        <f t="shared" si="40"/>
        <v>0</v>
      </c>
      <c r="AI321" s="100">
        <f t="shared" si="80"/>
        <v>2000</v>
      </c>
      <c r="AJ321" s="280"/>
      <c r="AK321" s="280"/>
      <c r="AL321" s="280"/>
      <c r="AM321" s="280"/>
      <c r="AN321" s="280"/>
      <c r="AO321" s="280">
        <v>0.0</v>
      </c>
      <c r="AP321" s="178">
        <f t="shared" si="81"/>
        <v>2000</v>
      </c>
      <c r="AQ321" s="280">
        <v>0.0</v>
      </c>
      <c r="AR321" s="113">
        <f t="shared" si="79"/>
        <v>0</v>
      </c>
      <c r="AS321" s="113">
        <v>0.0</v>
      </c>
      <c r="AT321" s="224">
        <f t="shared" si="73"/>
        <v>1</v>
      </c>
      <c r="AU321" s="224" t="str">
        <f t="shared" si="23"/>
        <v>#DIV/0!</v>
      </c>
      <c r="AV321" s="184"/>
      <c r="AW321" s="74"/>
      <c r="AX321" s="214"/>
      <c r="AY321" s="215"/>
      <c r="AZ321" s="210"/>
      <c r="BA321" s="210"/>
      <c r="BB321" s="219"/>
      <c r="BC321" s="77"/>
      <c r="BD321" s="210"/>
      <c r="BE321" s="117"/>
      <c r="BF321" s="199"/>
      <c r="BG321" s="199"/>
      <c r="BH321" s="199"/>
    </row>
    <row r="322" ht="104.25" customHeight="1">
      <c r="A322" s="50">
        <v>321.0</v>
      </c>
      <c r="B322" s="463">
        <v>2025.0</v>
      </c>
      <c r="C322" s="464" t="s">
        <v>1255</v>
      </c>
      <c r="D322" s="465" t="s">
        <v>74</v>
      </c>
      <c r="E322" s="464" t="s">
        <v>1256</v>
      </c>
      <c r="F322" s="53">
        <v>2.025003050028E12</v>
      </c>
      <c r="G322" s="184" t="s">
        <v>344</v>
      </c>
      <c r="H322" s="184" t="str">
        <f t="shared" si="84"/>
        <v>ANORÍ</v>
      </c>
      <c r="I322" s="184" t="s">
        <v>104</v>
      </c>
      <c r="J322" s="184" t="s">
        <v>1319</v>
      </c>
      <c r="K322" s="184"/>
      <c r="L322" s="184">
        <v>8.0</v>
      </c>
      <c r="M322" s="100">
        <v>2000.0</v>
      </c>
      <c r="N322" s="187">
        <v>0.0</v>
      </c>
      <c r="O322" s="113">
        <v>0.0</v>
      </c>
      <c r="P322" s="113">
        <v>0.0</v>
      </c>
      <c r="Q322" s="188">
        <f t="shared" si="2"/>
        <v>0</v>
      </c>
      <c r="R322" s="189">
        <v>0.0</v>
      </c>
      <c r="S322" s="189">
        <v>0.0</v>
      </c>
      <c r="T322" s="190">
        <f t="shared" si="3"/>
        <v>0</v>
      </c>
      <c r="U322" s="221" t="s">
        <v>220</v>
      </c>
      <c r="V322" s="221" t="s">
        <v>220</v>
      </c>
      <c r="W322" s="192"/>
      <c r="X322" s="193">
        <v>45936.0</v>
      </c>
      <c r="Y322" s="193">
        <v>46249.0</v>
      </c>
      <c r="Z322" s="194">
        <v>0.0</v>
      </c>
      <c r="AA322" s="194">
        <v>0.0</v>
      </c>
      <c r="AB322" s="193">
        <f t="shared" si="83"/>
        <v>46249</v>
      </c>
      <c r="AC322" s="66">
        <f t="shared" si="4"/>
        <v>-38</v>
      </c>
      <c r="AD322" s="55"/>
      <c r="AE322" s="55"/>
      <c r="AF322" s="55"/>
      <c r="AG322" s="55"/>
      <c r="AH322" s="86">
        <f t="shared" si="40"/>
        <v>0</v>
      </c>
      <c r="AI322" s="100">
        <f t="shared" si="80"/>
        <v>2000</v>
      </c>
      <c r="AJ322" s="280"/>
      <c r="AK322" s="280"/>
      <c r="AL322" s="280"/>
      <c r="AM322" s="280"/>
      <c r="AN322" s="280"/>
      <c r="AO322" s="280">
        <v>0.0</v>
      </c>
      <c r="AP322" s="178">
        <f t="shared" si="81"/>
        <v>2000</v>
      </c>
      <c r="AQ322" s="280">
        <v>0.0</v>
      </c>
      <c r="AR322" s="113">
        <f t="shared" si="79"/>
        <v>0</v>
      </c>
      <c r="AS322" s="113">
        <v>0.0</v>
      </c>
      <c r="AT322" s="224">
        <f t="shared" si="73"/>
        <v>1</v>
      </c>
      <c r="AU322" s="224" t="str">
        <f t="shared" si="23"/>
        <v>#DIV/0!</v>
      </c>
      <c r="AV322" s="184"/>
      <c r="AW322" s="74"/>
      <c r="AX322" s="214"/>
      <c r="AY322" s="215"/>
      <c r="AZ322" s="210"/>
      <c r="BA322" s="210"/>
      <c r="BB322" s="219"/>
      <c r="BC322" s="77"/>
      <c r="BD322" s="210"/>
      <c r="BE322" s="117"/>
      <c r="BF322" s="199"/>
      <c r="BG322" s="199"/>
      <c r="BH322" s="199"/>
    </row>
    <row r="323" ht="104.25" customHeight="1">
      <c r="A323" s="50">
        <v>322.0</v>
      </c>
      <c r="B323" s="463">
        <v>2025.0</v>
      </c>
      <c r="C323" s="464" t="s">
        <v>1255</v>
      </c>
      <c r="D323" s="465" t="s">
        <v>74</v>
      </c>
      <c r="E323" s="464" t="s">
        <v>1256</v>
      </c>
      <c r="F323" s="53">
        <v>2.025003050026E12</v>
      </c>
      <c r="G323" s="184" t="s">
        <v>207</v>
      </c>
      <c r="H323" s="184" t="str">
        <f t="shared" si="84"/>
        <v>GRANADA</v>
      </c>
      <c r="I323" s="184" t="s">
        <v>120</v>
      </c>
      <c r="J323" s="184" t="s">
        <v>1320</v>
      </c>
      <c r="K323" s="184"/>
      <c r="L323" s="184">
        <v>8.0</v>
      </c>
      <c r="M323" s="100">
        <v>1630.0</v>
      </c>
      <c r="N323" s="187">
        <v>0.0</v>
      </c>
      <c r="O323" s="113">
        <v>0.0</v>
      </c>
      <c r="P323" s="113">
        <v>0.0</v>
      </c>
      <c r="Q323" s="188">
        <f t="shared" si="2"/>
        <v>0</v>
      </c>
      <c r="R323" s="189">
        <v>0.0</v>
      </c>
      <c r="S323" s="189">
        <v>0.0</v>
      </c>
      <c r="T323" s="190">
        <f t="shared" si="3"/>
        <v>0</v>
      </c>
      <c r="U323" s="221" t="s">
        <v>220</v>
      </c>
      <c r="V323" s="221" t="s">
        <v>220</v>
      </c>
      <c r="W323" s="192"/>
      <c r="X323" s="193">
        <v>45968.0</v>
      </c>
      <c r="Y323" s="193">
        <v>46252.0</v>
      </c>
      <c r="Z323" s="194">
        <v>0.0</v>
      </c>
      <c r="AA323" s="194">
        <v>0.0</v>
      </c>
      <c r="AB323" s="193">
        <f t="shared" si="83"/>
        <v>46252</v>
      </c>
      <c r="AC323" s="66">
        <f t="shared" si="4"/>
        <v>-35</v>
      </c>
      <c r="AD323" s="55"/>
      <c r="AE323" s="55"/>
      <c r="AF323" s="55"/>
      <c r="AG323" s="55"/>
      <c r="AH323" s="86">
        <f t="shared" si="40"/>
        <v>0</v>
      </c>
      <c r="AI323" s="100">
        <f t="shared" si="80"/>
        <v>1630</v>
      </c>
      <c r="AJ323" s="280"/>
      <c r="AK323" s="280"/>
      <c r="AL323" s="280"/>
      <c r="AM323" s="280"/>
      <c r="AN323" s="280"/>
      <c r="AO323" s="280">
        <v>0.0</v>
      </c>
      <c r="AP323" s="178">
        <f t="shared" si="81"/>
        <v>1630</v>
      </c>
      <c r="AQ323" s="280">
        <v>0.0</v>
      </c>
      <c r="AR323" s="113">
        <f t="shared" si="79"/>
        <v>0</v>
      </c>
      <c r="AS323" s="113">
        <v>0.0</v>
      </c>
      <c r="AT323" s="224">
        <f t="shared" si="73"/>
        <v>1</v>
      </c>
      <c r="AU323" s="224" t="str">
        <f t="shared" si="23"/>
        <v>#DIV/0!</v>
      </c>
      <c r="AV323" s="184"/>
      <c r="AW323" s="74"/>
      <c r="AX323" s="214"/>
      <c r="AY323" s="215"/>
      <c r="AZ323" s="210"/>
      <c r="BA323" s="210"/>
      <c r="BB323" s="219"/>
      <c r="BC323" s="77"/>
      <c r="BD323" s="210"/>
      <c r="BE323" s="117"/>
      <c r="BF323" s="199"/>
      <c r="BG323" s="199"/>
      <c r="BH323" s="199"/>
    </row>
    <row r="324" ht="104.25" customHeight="1">
      <c r="A324" s="50">
        <v>323.0</v>
      </c>
      <c r="B324" s="463">
        <v>2025.0</v>
      </c>
      <c r="C324" s="464" t="s">
        <v>1255</v>
      </c>
      <c r="D324" s="465" t="s">
        <v>118</v>
      </c>
      <c r="E324" s="464" t="s">
        <v>1256</v>
      </c>
      <c r="F324" s="53">
        <v>2.025003050034E12</v>
      </c>
      <c r="G324" s="184" t="s">
        <v>269</v>
      </c>
      <c r="H324" s="184" t="str">
        <f t="shared" si="84"/>
        <v>COCORNÁ</v>
      </c>
      <c r="I324" s="184" t="s">
        <v>120</v>
      </c>
      <c r="J324" s="184" t="s">
        <v>1321</v>
      </c>
      <c r="K324" s="184"/>
      <c r="L324" s="184">
        <v>8.0</v>
      </c>
      <c r="M324" s="100">
        <v>2000.0</v>
      </c>
      <c r="N324" s="187">
        <v>0.0</v>
      </c>
      <c r="O324" s="113">
        <v>0.0</v>
      </c>
      <c r="P324" s="113">
        <v>0.0</v>
      </c>
      <c r="Q324" s="188">
        <f t="shared" si="2"/>
        <v>0</v>
      </c>
      <c r="R324" s="189">
        <v>0.0</v>
      </c>
      <c r="S324" s="189">
        <v>0.0</v>
      </c>
      <c r="T324" s="190">
        <f t="shared" si="3"/>
        <v>0</v>
      </c>
      <c r="U324" s="221" t="s">
        <v>220</v>
      </c>
      <c r="V324" s="221" t="s">
        <v>220</v>
      </c>
      <c r="W324" s="192"/>
      <c r="X324" s="193">
        <v>45973.0</v>
      </c>
      <c r="Y324" s="193">
        <v>46342.0</v>
      </c>
      <c r="Z324" s="194">
        <v>0.0</v>
      </c>
      <c r="AA324" s="194">
        <v>0.0</v>
      </c>
      <c r="AB324" s="193">
        <f t="shared" si="83"/>
        <v>46342</v>
      </c>
      <c r="AC324" s="66">
        <f t="shared" si="4"/>
        <v>55</v>
      </c>
      <c r="AD324" s="55"/>
      <c r="AE324" s="55"/>
      <c r="AF324" s="55"/>
      <c r="AG324" s="55"/>
      <c r="AH324" s="86">
        <f t="shared" si="40"/>
        <v>0</v>
      </c>
      <c r="AI324" s="100">
        <f t="shared" si="80"/>
        <v>2000</v>
      </c>
      <c r="AJ324" s="280"/>
      <c r="AK324" s="280"/>
      <c r="AL324" s="280"/>
      <c r="AM324" s="280"/>
      <c r="AN324" s="280"/>
      <c r="AO324" s="280">
        <v>0.0</v>
      </c>
      <c r="AP324" s="178">
        <f t="shared" si="81"/>
        <v>2000</v>
      </c>
      <c r="AQ324" s="280">
        <v>0.0</v>
      </c>
      <c r="AR324" s="113">
        <f t="shared" si="79"/>
        <v>0</v>
      </c>
      <c r="AS324" s="113">
        <v>0.0</v>
      </c>
      <c r="AT324" s="224">
        <f t="shared" si="73"/>
        <v>1</v>
      </c>
      <c r="AU324" s="224" t="str">
        <f t="shared" si="23"/>
        <v>#DIV/0!</v>
      </c>
      <c r="AV324" s="184"/>
      <c r="AW324" s="74"/>
      <c r="AX324" s="214"/>
      <c r="AY324" s="215"/>
      <c r="AZ324" s="210"/>
      <c r="BA324" s="210"/>
      <c r="BB324" s="219"/>
      <c r="BC324" s="77"/>
      <c r="BD324" s="210"/>
      <c r="BE324" s="117"/>
      <c r="BF324" s="199"/>
      <c r="BG324" s="199"/>
      <c r="BH324" s="199"/>
    </row>
    <row r="325" ht="104.25" customHeight="1">
      <c r="A325" s="50">
        <v>324.0</v>
      </c>
      <c r="B325" s="463">
        <v>2025.0</v>
      </c>
      <c r="C325" s="464" t="s">
        <v>1255</v>
      </c>
      <c r="D325" s="465" t="s">
        <v>74</v>
      </c>
      <c r="E325" s="464" t="s">
        <v>1256</v>
      </c>
      <c r="F325" s="53">
        <v>2.025003050026E12</v>
      </c>
      <c r="G325" s="184" t="s">
        <v>728</v>
      </c>
      <c r="H325" s="184" t="str">
        <f t="shared" si="84"/>
        <v>SANTO DOMINGO</v>
      </c>
      <c r="I325" s="184" t="s">
        <v>104</v>
      </c>
      <c r="J325" s="184" t="s">
        <v>1322</v>
      </c>
      <c r="K325" s="184"/>
      <c r="L325" s="184">
        <v>8.0</v>
      </c>
      <c r="M325" s="100">
        <v>1000.0</v>
      </c>
      <c r="N325" s="187">
        <v>0.0</v>
      </c>
      <c r="O325" s="113">
        <v>0.0</v>
      </c>
      <c r="P325" s="113">
        <v>0.0</v>
      </c>
      <c r="Q325" s="188">
        <f t="shared" si="2"/>
        <v>0</v>
      </c>
      <c r="R325" s="189">
        <v>0.0</v>
      </c>
      <c r="S325" s="189">
        <v>0.0</v>
      </c>
      <c r="T325" s="190">
        <f t="shared" si="3"/>
        <v>0</v>
      </c>
      <c r="U325" s="221" t="s">
        <v>220</v>
      </c>
      <c r="V325" s="221" t="s">
        <v>220</v>
      </c>
      <c r="W325" s="192"/>
      <c r="X325" s="193">
        <v>45971.0</v>
      </c>
      <c r="Y325" s="193">
        <v>46141.0</v>
      </c>
      <c r="Z325" s="194">
        <v>0.0</v>
      </c>
      <c r="AA325" s="194">
        <v>0.0</v>
      </c>
      <c r="AB325" s="193">
        <f t="shared" si="83"/>
        <v>46141</v>
      </c>
      <c r="AC325" s="66">
        <f t="shared" si="4"/>
        <v>-146</v>
      </c>
      <c r="AD325" s="55"/>
      <c r="AE325" s="55"/>
      <c r="AF325" s="55"/>
      <c r="AG325" s="55"/>
      <c r="AH325" s="86">
        <f t="shared" si="40"/>
        <v>0</v>
      </c>
      <c r="AI325" s="27">
        <f t="shared" si="80"/>
        <v>1000</v>
      </c>
      <c r="AJ325" s="51"/>
      <c r="AK325" s="280"/>
      <c r="AL325" s="280"/>
      <c r="AM325" s="280"/>
      <c r="AN325" s="280"/>
      <c r="AO325" s="280">
        <v>0.0</v>
      </c>
      <c r="AP325" s="178">
        <f t="shared" si="81"/>
        <v>1000</v>
      </c>
      <c r="AQ325" s="280">
        <v>0.0</v>
      </c>
      <c r="AR325" s="113">
        <f t="shared" si="79"/>
        <v>0</v>
      </c>
      <c r="AS325" s="113">
        <v>0.0</v>
      </c>
      <c r="AT325" s="224">
        <f t="shared" si="73"/>
        <v>1</v>
      </c>
      <c r="AU325" s="224" t="str">
        <f t="shared" si="23"/>
        <v>#DIV/0!</v>
      </c>
      <c r="AV325" s="184"/>
      <c r="AW325" s="74"/>
      <c r="AX325" s="214"/>
      <c r="AY325" s="215"/>
      <c r="AZ325" s="210"/>
      <c r="BA325" s="210"/>
      <c r="BB325" s="219"/>
      <c r="BC325" s="77"/>
      <c r="BD325" s="210"/>
      <c r="BE325" s="117"/>
      <c r="BF325" s="199"/>
      <c r="BG325" s="199"/>
      <c r="BH325" s="199"/>
    </row>
    <row r="326" ht="104.25" customHeight="1">
      <c r="A326" s="50">
        <v>325.0</v>
      </c>
      <c r="B326" s="463">
        <v>2025.0</v>
      </c>
      <c r="C326" s="464" t="s">
        <v>1255</v>
      </c>
      <c r="D326" s="465" t="s">
        <v>74</v>
      </c>
      <c r="E326" s="464" t="s">
        <v>1256</v>
      </c>
      <c r="F326" s="53">
        <v>2.025003050032E12</v>
      </c>
      <c r="G326" s="184" t="s">
        <v>540</v>
      </c>
      <c r="H326" s="184" t="str">
        <f t="shared" si="84"/>
        <v>CAICEDO</v>
      </c>
      <c r="I326" s="184" t="s">
        <v>127</v>
      </c>
      <c r="J326" s="184" t="s">
        <v>1323</v>
      </c>
      <c r="K326" s="184"/>
      <c r="L326" s="184">
        <v>8.0</v>
      </c>
      <c r="M326" s="100">
        <v>1000.0</v>
      </c>
      <c r="N326" s="187">
        <v>0.0</v>
      </c>
      <c r="O326" s="113">
        <v>0.0</v>
      </c>
      <c r="P326" s="113">
        <v>0.0</v>
      </c>
      <c r="Q326" s="188">
        <f t="shared" si="2"/>
        <v>0</v>
      </c>
      <c r="R326" s="189">
        <v>0.0</v>
      </c>
      <c r="S326" s="189">
        <v>0.0</v>
      </c>
      <c r="T326" s="190">
        <f t="shared" si="3"/>
        <v>0</v>
      </c>
      <c r="U326" s="221" t="s">
        <v>220</v>
      </c>
      <c r="V326" s="221" t="s">
        <v>220</v>
      </c>
      <c r="W326" s="192"/>
      <c r="X326" s="193">
        <v>46015.0</v>
      </c>
      <c r="Y326" s="193">
        <v>46381.0</v>
      </c>
      <c r="Z326" s="194">
        <v>0.0</v>
      </c>
      <c r="AA326" s="194">
        <v>0.0</v>
      </c>
      <c r="AB326" s="193">
        <f t="shared" si="83"/>
        <v>46381</v>
      </c>
      <c r="AC326" s="66">
        <f t="shared" si="4"/>
        <v>94</v>
      </c>
      <c r="AD326" s="55"/>
      <c r="AE326" s="55"/>
      <c r="AF326" s="55"/>
      <c r="AG326" s="55"/>
      <c r="AH326" s="86">
        <f t="shared" si="40"/>
        <v>0</v>
      </c>
      <c r="AI326" s="27">
        <f t="shared" si="80"/>
        <v>1000</v>
      </c>
      <c r="AJ326" s="51"/>
      <c r="AK326" s="280"/>
      <c r="AL326" s="280"/>
      <c r="AM326" s="280"/>
      <c r="AN326" s="280"/>
      <c r="AO326" s="280">
        <v>0.0</v>
      </c>
      <c r="AP326" s="178">
        <f t="shared" si="81"/>
        <v>1000</v>
      </c>
      <c r="AQ326" s="280">
        <v>0.0</v>
      </c>
      <c r="AR326" s="113">
        <f t="shared" si="79"/>
        <v>0</v>
      </c>
      <c r="AS326" s="113">
        <v>0.0</v>
      </c>
      <c r="AT326" s="224">
        <f t="shared" si="73"/>
        <v>1</v>
      </c>
      <c r="AU326" s="224" t="str">
        <f t="shared" si="23"/>
        <v>#DIV/0!</v>
      </c>
      <c r="AV326" s="184"/>
      <c r="AW326" s="74"/>
      <c r="AX326" s="214"/>
      <c r="AY326" s="215"/>
      <c r="AZ326" s="210"/>
      <c r="BA326" s="210"/>
      <c r="BB326" s="219"/>
      <c r="BC326" s="77"/>
      <c r="BD326" s="210"/>
      <c r="BE326" s="117"/>
      <c r="BF326" s="199"/>
      <c r="BG326" s="199"/>
      <c r="BH326" s="199"/>
    </row>
    <row r="327" ht="104.25" customHeight="1">
      <c r="A327" s="50">
        <v>326.0</v>
      </c>
      <c r="B327" s="463">
        <v>2025.0</v>
      </c>
      <c r="C327" s="464" t="s">
        <v>1255</v>
      </c>
      <c r="D327" s="465" t="s">
        <v>74</v>
      </c>
      <c r="E327" s="464" t="s">
        <v>1256</v>
      </c>
      <c r="F327" s="53">
        <v>2.025003050038E12</v>
      </c>
      <c r="G327" s="184" t="s">
        <v>77</v>
      </c>
      <c r="H327" s="184" t="str">
        <f t="shared" si="84"/>
        <v>BETANIA</v>
      </c>
      <c r="I327" s="184" t="s">
        <v>78</v>
      </c>
      <c r="J327" s="184" t="s">
        <v>1324</v>
      </c>
      <c r="K327" s="184"/>
      <c r="L327" s="184">
        <v>8.0</v>
      </c>
      <c r="M327" s="100">
        <v>1000.0</v>
      </c>
      <c r="N327" s="187">
        <v>0.0</v>
      </c>
      <c r="O327" s="113">
        <v>0.0</v>
      </c>
      <c r="P327" s="113">
        <v>0.0</v>
      </c>
      <c r="Q327" s="188">
        <f t="shared" si="2"/>
        <v>0</v>
      </c>
      <c r="R327" s="189">
        <v>0.0</v>
      </c>
      <c r="S327" s="189">
        <v>0.0</v>
      </c>
      <c r="T327" s="190">
        <f t="shared" si="3"/>
        <v>0</v>
      </c>
      <c r="U327" s="221" t="s">
        <v>220</v>
      </c>
      <c r="V327" s="221" t="s">
        <v>220</v>
      </c>
      <c r="W327" s="192"/>
      <c r="X327" s="193">
        <v>46001.0</v>
      </c>
      <c r="Y327" s="193">
        <v>46341.0</v>
      </c>
      <c r="Z327" s="194">
        <v>0.0</v>
      </c>
      <c r="AA327" s="194">
        <v>0.0</v>
      </c>
      <c r="AB327" s="193">
        <f t="shared" si="83"/>
        <v>46341</v>
      </c>
      <c r="AC327" s="66">
        <f t="shared" si="4"/>
        <v>54</v>
      </c>
      <c r="AD327" s="55"/>
      <c r="AE327" s="55"/>
      <c r="AF327" s="55"/>
      <c r="AG327" s="55"/>
      <c r="AH327" s="86">
        <f t="shared" si="40"/>
        <v>0</v>
      </c>
      <c r="AI327" s="27">
        <f t="shared" si="80"/>
        <v>1000</v>
      </c>
      <c r="AJ327" s="51"/>
      <c r="AK327" s="280"/>
      <c r="AL327" s="280"/>
      <c r="AM327" s="280"/>
      <c r="AN327" s="280"/>
      <c r="AO327" s="280">
        <v>0.0</v>
      </c>
      <c r="AP327" s="178">
        <f t="shared" si="81"/>
        <v>1000</v>
      </c>
      <c r="AQ327" s="280">
        <v>0.0</v>
      </c>
      <c r="AR327" s="113">
        <f t="shared" si="79"/>
        <v>0</v>
      </c>
      <c r="AS327" s="113">
        <v>0.0</v>
      </c>
      <c r="AT327" s="224">
        <f t="shared" si="73"/>
        <v>1</v>
      </c>
      <c r="AU327" s="224" t="str">
        <f t="shared" si="23"/>
        <v>#DIV/0!</v>
      </c>
      <c r="AV327" s="184"/>
      <c r="AW327" s="74"/>
      <c r="AX327" s="214"/>
      <c r="AY327" s="215"/>
      <c r="AZ327" s="210"/>
      <c r="BA327" s="210"/>
      <c r="BB327" s="219"/>
      <c r="BC327" s="77"/>
      <c r="BD327" s="210"/>
      <c r="BE327" s="117"/>
      <c r="BF327" s="199"/>
      <c r="BG327" s="199"/>
      <c r="BH327" s="199"/>
    </row>
    <row r="328" ht="104.25" customHeight="1">
      <c r="A328" s="50">
        <v>327.0</v>
      </c>
      <c r="B328" s="463">
        <v>2025.0</v>
      </c>
      <c r="C328" s="464" t="s">
        <v>1255</v>
      </c>
      <c r="D328" s="465" t="s">
        <v>74</v>
      </c>
      <c r="E328" s="464" t="s">
        <v>1256</v>
      </c>
      <c r="F328" s="53">
        <v>2.025003050046E12</v>
      </c>
      <c r="G328" s="184" t="s">
        <v>314</v>
      </c>
      <c r="H328" s="184" t="str">
        <f t="shared" si="84"/>
        <v>SAN VICENTE DE FERRER</v>
      </c>
      <c r="I328" s="184" t="s">
        <v>120</v>
      </c>
      <c r="J328" s="184" t="s">
        <v>1325</v>
      </c>
      <c r="K328" s="184"/>
      <c r="L328" s="184">
        <v>8.0</v>
      </c>
      <c r="M328" s="100">
        <v>2000.0</v>
      </c>
      <c r="N328" s="187">
        <v>0.0</v>
      </c>
      <c r="O328" s="113">
        <v>0.0</v>
      </c>
      <c r="P328" s="113">
        <v>0.0</v>
      </c>
      <c r="Q328" s="188">
        <f t="shared" si="2"/>
        <v>0</v>
      </c>
      <c r="R328" s="189">
        <v>0.0</v>
      </c>
      <c r="S328" s="189">
        <v>0.0</v>
      </c>
      <c r="T328" s="190">
        <f t="shared" si="3"/>
        <v>0</v>
      </c>
      <c r="U328" s="221" t="s">
        <v>220</v>
      </c>
      <c r="V328" s="221" t="s">
        <v>220</v>
      </c>
      <c r="W328" s="192"/>
      <c r="X328" s="193">
        <v>46014.0</v>
      </c>
      <c r="Y328" s="193">
        <v>46312.0</v>
      </c>
      <c r="Z328" s="194">
        <v>0.0</v>
      </c>
      <c r="AA328" s="194">
        <v>0.0</v>
      </c>
      <c r="AB328" s="193">
        <f t="shared" si="83"/>
        <v>46312</v>
      </c>
      <c r="AC328" s="66">
        <f t="shared" si="4"/>
        <v>25</v>
      </c>
      <c r="AD328" s="55"/>
      <c r="AE328" s="55"/>
      <c r="AF328" s="55"/>
      <c r="AG328" s="55"/>
      <c r="AH328" s="86">
        <f t="shared" si="40"/>
        <v>0</v>
      </c>
      <c r="AI328" s="100">
        <f t="shared" si="80"/>
        <v>2000</v>
      </c>
      <c r="AJ328" s="280"/>
      <c r="AK328" s="280"/>
      <c r="AL328" s="280"/>
      <c r="AM328" s="280"/>
      <c r="AN328" s="280"/>
      <c r="AO328" s="280">
        <v>0.0</v>
      </c>
      <c r="AP328" s="178">
        <f t="shared" si="81"/>
        <v>2000</v>
      </c>
      <c r="AQ328" s="280">
        <v>0.0</v>
      </c>
      <c r="AR328" s="113">
        <f t="shared" si="79"/>
        <v>0</v>
      </c>
      <c r="AS328" s="113">
        <v>0.0</v>
      </c>
      <c r="AT328" s="224">
        <f t="shared" si="73"/>
        <v>1</v>
      </c>
      <c r="AU328" s="224" t="str">
        <f t="shared" si="23"/>
        <v>#DIV/0!</v>
      </c>
      <c r="AV328" s="184"/>
      <c r="AW328" s="74"/>
      <c r="AX328" s="214"/>
      <c r="AY328" s="215"/>
      <c r="AZ328" s="210"/>
      <c r="BA328" s="210"/>
      <c r="BB328" s="219"/>
      <c r="BC328" s="77"/>
      <c r="BD328" s="210"/>
      <c r="BE328" s="117"/>
      <c r="BF328" s="199"/>
      <c r="BG328" s="199"/>
      <c r="BH328" s="199"/>
    </row>
    <row r="329" ht="104.25" customHeight="1">
      <c r="A329" s="50">
        <v>328.0</v>
      </c>
      <c r="B329" s="463">
        <v>2025.0</v>
      </c>
      <c r="C329" s="464" t="s">
        <v>1255</v>
      </c>
      <c r="D329" s="465" t="s">
        <v>74</v>
      </c>
      <c r="E329" s="464" t="s">
        <v>1256</v>
      </c>
      <c r="F329" s="53">
        <v>2.025003050043E12</v>
      </c>
      <c r="G329" s="184" t="s">
        <v>557</v>
      </c>
      <c r="H329" s="184" t="str">
        <f t="shared" si="84"/>
        <v>HISPANIA</v>
      </c>
      <c r="I329" s="184" t="s">
        <v>78</v>
      </c>
      <c r="J329" s="184" t="s">
        <v>1326</v>
      </c>
      <c r="K329" s="184"/>
      <c r="L329" s="184">
        <v>8.0</v>
      </c>
      <c r="M329" s="100">
        <v>1500.0</v>
      </c>
      <c r="N329" s="187">
        <v>0.0</v>
      </c>
      <c r="O329" s="113">
        <v>0.0</v>
      </c>
      <c r="P329" s="113">
        <v>0.0</v>
      </c>
      <c r="Q329" s="188">
        <f t="shared" si="2"/>
        <v>0</v>
      </c>
      <c r="R329" s="189">
        <v>0.0</v>
      </c>
      <c r="S329" s="189">
        <v>0.0</v>
      </c>
      <c r="T329" s="190">
        <f t="shared" si="3"/>
        <v>0</v>
      </c>
      <c r="U329" s="221" t="s">
        <v>220</v>
      </c>
      <c r="V329" s="221" t="s">
        <v>220</v>
      </c>
      <c r="W329" s="192"/>
      <c r="X329" s="193">
        <v>46011.0</v>
      </c>
      <c r="Y329" s="193">
        <v>46293.0</v>
      </c>
      <c r="Z329" s="194">
        <v>0.0</v>
      </c>
      <c r="AA329" s="194">
        <v>0.0</v>
      </c>
      <c r="AB329" s="193">
        <f t="shared" si="83"/>
        <v>46293</v>
      </c>
      <c r="AC329" s="66">
        <f t="shared" si="4"/>
        <v>6</v>
      </c>
      <c r="AD329" s="55"/>
      <c r="AE329" s="55"/>
      <c r="AF329" s="55"/>
      <c r="AG329" s="55"/>
      <c r="AH329" s="86">
        <f t="shared" si="40"/>
        <v>0</v>
      </c>
      <c r="AI329" s="100">
        <f t="shared" si="80"/>
        <v>1500</v>
      </c>
      <c r="AJ329" s="280"/>
      <c r="AK329" s="280"/>
      <c r="AL329" s="280"/>
      <c r="AM329" s="280"/>
      <c r="AN329" s="280"/>
      <c r="AO329" s="280">
        <v>0.0</v>
      </c>
      <c r="AP329" s="178">
        <f t="shared" si="81"/>
        <v>1500</v>
      </c>
      <c r="AQ329" s="280">
        <v>0.0</v>
      </c>
      <c r="AR329" s="113">
        <f t="shared" si="79"/>
        <v>0</v>
      </c>
      <c r="AS329" s="113">
        <v>0.0</v>
      </c>
      <c r="AT329" s="224">
        <f t="shared" si="73"/>
        <v>1</v>
      </c>
      <c r="AU329" s="224" t="str">
        <f t="shared" si="23"/>
        <v>#DIV/0!</v>
      </c>
      <c r="AV329" s="184"/>
      <c r="AW329" s="74"/>
      <c r="AX329" s="214"/>
      <c r="AY329" s="215"/>
      <c r="AZ329" s="210"/>
      <c r="BA329" s="210"/>
      <c r="BB329" s="219"/>
      <c r="BC329" s="77"/>
      <c r="BD329" s="210"/>
      <c r="BE329" s="117"/>
      <c r="BF329" s="199"/>
      <c r="BG329" s="199"/>
      <c r="BH329" s="199"/>
    </row>
    <row r="330" ht="104.25" customHeight="1">
      <c r="A330" s="50">
        <v>329.0</v>
      </c>
      <c r="B330" s="463">
        <v>2025.0</v>
      </c>
      <c r="C330" s="464" t="s">
        <v>1255</v>
      </c>
      <c r="D330" s="465" t="s">
        <v>74</v>
      </c>
      <c r="E330" s="464" t="s">
        <v>1256</v>
      </c>
      <c r="F330" s="53">
        <v>2.025003050053E12</v>
      </c>
      <c r="G330" s="184" t="s">
        <v>424</v>
      </c>
      <c r="H330" s="184" t="str">
        <f t="shared" si="84"/>
        <v>TOLEDO</v>
      </c>
      <c r="I330" s="184" t="s">
        <v>174</v>
      </c>
      <c r="J330" s="184" t="s">
        <v>1327</v>
      </c>
      <c r="K330" s="184"/>
      <c r="L330" s="184">
        <v>8.0</v>
      </c>
      <c r="M330" s="100">
        <v>1000.0</v>
      </c>
      <c r="N330" s="187">
        <v>0.0</v>
      </c>
      <c r="O330" s="113">
        <v>0.0</v>
      </c>
      <c r="P330" s="113">
        <v>0.0</v>
      </c>
      <c r="Q330" s="188">
        <f t="shared" si="2"/>
        <v>0</v>
      </c>
      <c r="R330" s="189">
        <v>0.0</v>
      </c>
      <c r="S330" s="189">
        <v>0.0</v>
      </c>
      <c r="T330" s="190">
        <f t="shared" si="3"/>
        <v>0</v>
      </c>
      <c r="U330" s="221" t="s">
        <v>387</v>
      </c>
      <c r="V330" s="221" t="s">
        <v>387</v>
      </c>
      <c r="W330" s="192"/>
      <c r="X330" s="193">
        <v>46014.0</v>
      </c>
      <c r="Y330" s="193">
        <v>46205.0</v>
      </c>
      <c r="Z330" s="194">
        <v>0.0</v>
      </c>
      <c r="AA330" s="194">
        <v>0.0</v>
      </c>
      <c r="AB330" s="193">
        <f t="shared" si="83"/>
        <v>46205</v>
      </c>
      <c r="AC330" s="66">
        <f t="shared" si="4"/>
        <v>-82</v>
      </c>
      <c r="AD330" s="55"/>
      <c r="AE330" s="55"/>
      <c r="AF330" s="55"/>
      <c r="AG330" s="55"/>
      <c r="AH330" s="86">
        <f t="shared" si="40"/>
        <v>0</v>
      </c>
      <c r="AI330" s="27">
        <f t="shared" si="80"/>
        <v>1000</v>
      </c>
      <c r="AJ330" s="51"/>
      <c r="AK330" s="280"/>
      <c r="AL330" s="280"/>
      <c r="AM330" s="280"/>
      <c r="AN330" s="280"/>
      <c r="AO330" s="280">
        <v>0.0</v>
      </c>
      <c r="AP330" s="178">
        <f t="shared" si="81"/>
        <v>1000</v>
      </c>
      <c r="AQ330" s="280">
        <v>0.0</v>
      </c>
      <c r="AR330" s="113">
        <f t="shared" si="79"/>
        <v>0</v>
      </c>
      <c r="AS330" s="113">
        <v>0.0</v>
      </c>
      <c r="AT330" s="224">
        <f t="shared" si="73"/>
        <v>1</v>
      </c>
      <c r="AU330" s="224" t="str">
        <f t="shared" si="23"/>
        <v>#DIV/0!</v>
      </c>
      <c r="AV330" s="184"/>
      <c r="AW330" s="74"/>
      <c r="AX330" s="214"/>
      <c r="AY330" s="215"/>
      <c r="AZ330" s="210"/>
      <c r="BA330" s="210"/>
      <c r="BB330" s="219"/>
      <c r="BC330" s="77"/>
      <c r="BD330" s="210"/>
      <c r="BE330" s="117"/>
      <c r="BF330" s="199"/>
      <c r="BG330" s="199"/>
      <c r="BH330" s="199"/>
    </row>
    <row r="331" ht="104.25" customHeight="1">
      <c r="A331" s="50">
        <v>330.0</v>
      </c>
      <c r="B331" s="463">
        <v>2025.0</v>
      </c>
      <c r="C331" s="464" t="s">
        <v>1255</v>
      </c>
      <c r="D331" s="465" t="s">
        <v>74</v>
      </c>
      <c r="E331" s="464" t="s">
        <v>1256</v>
      </c>
      <c r="F331" s="53">
        <v>2.025003050051E12</v>
      </c>
      <c r="G331" s="184" t="s">
        <v>398</v>
      </c>
      <c r="H331" s="184" t="str">
        <f t="shared" si="84"/>
        <v>BRICEÑO</v>
      </c>
      <c r="I331" s="184" t="s">
        <v>174</v>
      </c>
      <c r="J331" s="184" t="s">
        <v>1328</v>
      </c>
      <c r="K331" s="184"/>
      <c r="L331" s="184">
        <v>8.0</v>
      </c>
      <c r="M331" s="100">
        <v>1000.0</v>
      </c>
      <c r="N331" s="187">
        <v>0.0</v>
      </c>
      <c r="O331" s="113">
        <v>0.0</v>
      </c>
      <c r="P331" s="113">
        <v>0.0</v>
      </c>
      <c r="Q331" s="188">
        <f t="shared" si="2"/>
        <v>0</v>
      </c>
      <c r="R331" s="189">
        <v>0.0</v>
      </c>
      <c r="S331" s="189">
        <v>0.0</v>
      </c>
      <c r="T331" s="190">
        <f t="shared" si="3"/>
        <v>0</v>
      </c>
      <c r="U331" s="221" t="s">
        <v>64</v>
      </c>
      <c r="V331" s="221" t="s">
        <v>64</v>
      </c>
      <c r="W331" s="192"/>
      <c r="X331" s="193">
        <v>46014.0</v>
      </c>
      <c r="Y331" s="193">
        <v>46184.0</v>
      </c>
      <c r="Z331" s="194">
        <v>0.0</v>
      </c>
      <c r="AA331" s="194">
        <v>0.0</v>
      </c>
      <c r="AB331" s="193">
        <f t="shared" si="83"/>
        <v>46184</v>
      </c>
      <c r="AC331" s="66">
        <f t="shared" si="4"/>
        <v>-103</v>
      </c>
      <c r="AD331" s="55"/>
      <c r="AE331" s="55"/>
      <c r="AF331" s="55"/>
      <c r="AG331" s="55"/>
      <c r="AH331" s="86">
        <f t="shared" si="40"/>
        <v>0</v>
      </c>
      <c r="AI331" s="27">
        <f t="shared" si="80"/>
        <v>1000</v>
      </c>
      <c r="AJ331" s="51"/>
      <c r="AK331" s="280"/>
      <c r="AL331" s="280"/>
      <c r="AM331" s="280"/>
      <c r="AN331" s="280"/>
      <c r="AO331" s="280">
        <v>0.0</v>
      </c>
      <c r="AP331" s="178">
        <f t="shared" si="81"/>
        <v>1000</v>
      </c>
      <c r="AQ331" s="280">
        <v>0.0</v>
      </c>
      <c r="AR331" s="113">
        <f t="shared" si="79"/>
        <v>0</v>
      </c>
      <c r="AS331" s="113">
        <v>0.0</v>
      </c>
      <c r="AT331" s="224">
        <f t="shared" si="73"/>
        <v>1</v>
      </c>
      <c r="AU331" s="224" t="str">
        <f t="shared" si="23"/>
        <v>#DIV/0!</v>
      </c>
      <c r="AV331" s="184"/>
      <c r="AW331" s="74"/>
      <c r="AX331" s="214"/>
      <c r="AY331" s="215"/>
      <c r="AZ331" s="210"/>
      <c r="BA331" s="210"/>
      <c r="BB331" s="219"/>
      <c r="BC331" s="77"/>
      <c r="BD331" s="210"/>
      <c r="BE331" s="117"/>
      <c r="BF331" s="199"/>
      <c r="BG331" s="199"/>
      <c r="BH331" s="199"/>
    </row>
    <row r="332" ht="104.25" customHeight="1">
      <c r="A332" s="50">
        <v>331.0</v>
      </c>
      <c r="B332" s="463">
        <v>2025.0</v>
      </c>
      <c r="C332" s="464" t="s">
        <v>1255</v>
      </c>
      <c r="D332" s="465" t="s">
        <v>74</v>
      </c>
      <c r="E332" s="464" t="s">
        <v>1256</v>
      </c>
      <c r="F332" s="53">
        <v>2.025003050056E12</v>
      </c>
      <c r="G332" s="184" t="s">
        <v>686</v>
      </c>
      <c r="H332" s="184" t="str">
        <f t="shared" si="84"/>
        <v>GUATAPÉ</v>
      </c>
      <c r="I332" s="184" t="s">
        <v>120</v>
      </c>
      <c r="J332" s="184" t="s">
        <v>1329</v>
      </c>
      <c r="K332" s="184"/>
      <c r="L332" s="184">
        <v>8.0</v>
      </c>
      <c r="M332" s="100">
        <v>1730.0</v>
      </c>
      <c r="N332" s="187">
        <v>0.0</v>
      </c>
      <c r="O332" s="113">
        <v>0.0</v>
      </c>
      <c r="P332" s="113">
        <v>0.0</v>
      </c>
      <c r="Q332" s="188">
        <f t="shared" si="2"/>
        <v>0</v>
      </c>
      <c r="R332" s="189">
        <v>0.0</v>
      </c>
      <c r="S332" s="189">
        <v>0.0</v>
      </c>
      <c r="T332" s="190">
        <f t="shared" si="3"/>
        <v>0</v>
      </c>
      <c r="U332" s="221" t="s">
        <v>387</v>
      </c>
      <c r="V332" s="221" t="s">
        <v>387</v>
      </c>
      <c r="W332" s="192"/>
      <c r="X332" s="193">
        <v>46014.0</v>
      </c>
      <c r="Y332" s="193">
        <v>46411.0</v>
      </c>
      <c r="Z332" s="194">
        <v>0.0</v>
      </c>
      <c r="AA332" s="194">
        <v>0.0</v>
      </c>
      <c r="AB332" s="193">
        <f t="shared" si="83"/>
        <v>46411</v>
      </c>
      <c r="AC332" s="66">
        <f t="shared" si="4"/>
        <v>124</v>
      </c>
      <c r="AD332" s="55"/>
      <c r="AE332" s="55"/>
      <c r="AF332" s="55"/>
      <c r="AG332" s="55"/>
      <c r="AH332" s="86">
        <f t="shared" si="40"/>
        <v>0</v>
      </c>
      <c r="AI332" s="100">
        <f t="shared" si="80"/>
        <v>1730</v>
      </c>
      <c r="AJ332" s="280"/>
      <c r="AK332" s="280"/>
      <c r="AL332" s="280"/>
      <c r="AM332" s="280"/>
      <c r="AN332" s="280"/>
      <c r="AO332" s="280">
        <v>0.0</v>
      </c>
      <c r="AP332" s="178">
        <f t="shared" si="81"/>
        <v>1730</v>
      </c>
      <c r="AQ332" s="280">
        <v>0.0</v>
      </c>
      <c r="AR332" s="113">
        <f t="shared" si="79"/>
        <v>0</v>
      </c>
      <c r="AS332" s="113">
        <v>0.0</v>
      </c>
      <c r="AT332" s="224">
        <f t="shared" si="73"/>
        <v>1</v>
      </c>
      <c r="AU332" s="224" t="str">
        <f t="shared" si="23"/>
        <v>#DIV/0!</v>
      </c>
      <c r="AV332" s="184"/>
      <c r="AW332" s="74"/>
      <c r="AX332" s="214"/>
      <c r="AY332" s="215"/>
      <c r="AZ332" s="210"/>
      <c r="BA332" s="210"/>
      <c r="BB332" s="219"/>
      <c r="BC332" s="77"/>
      <c r="BD332" s="210"/>
      <c r="BE332" s="117"/>
      <c r="BF332" s="199"/>
      <c r="BG332" s="199"/>
      <c r="BH332" s="199"/>
    </row>
    <row r="333" ht="104.25" customHeight="1">
      <c r="A333" s="50">
        <v>332.0</v>
      </c>
      <c r="B333" s="463">
        <v>2025.0</v>
      </c>
      <c r="C333" s="464" t="s">
        <v>1255</v>
      </c>
      <c r="D333" s="465" t="s">
        <v>74</v>
      </c>
      <c r="E333" s="464" t="s">
        <v>1256</v>
      </c>
      <c r="F333" s="53">
        <v>2.025003050044E12</v>
      </c>
      <c r="G333" s="184" t="s">
        <v>1292</v>
      </c>
      <c r="H333" s="184" t="str">
        <f t="shared" si="84"/>
        <v>TÁMESIS</v>
      </c>
      <c r="I333" s="184" t="s">
        <v>78</v>
      </c>
      <c r="J333" s="184" t="s">
        <v>1330</v>
      </c>
      <c r="K333" s="184"/>
      <c r="L333" s="184">
        <v>8.0</v>
      </c>
      <c r="M333" s="100">
        <v>1100.0</v>
      </c>
      <c r="N333" s="187">
        <v>0.0</v>
      </c>
      <c r="O333" s="113">
        <v>0.0</v>
      </c>
      <c r="P333" s="113">
        <v>0.0</v>
      </c>
      <c r="Q333" s="188">
        <f t="shared" si="2"/>
        <v>0</v>
      </c>
      <c r="R333" s="189">
        <v>0.0</v>
      </c>
      <c r="S333" s="189">
        <v>0.0</v>
      </c>
      <c r="T333" s="190">
        <f t="shared" si="3"/>
        <v>0</v>
      </c>
      <c r="U333" s="221" t="s">
        <v>387</v>
      </c>
      <c r="V333" s="221" t="s">
        <v>387</v>
      </c>
      <c r="W333" s="192"/>
      <c r="X333" s="193">
        <v>46014.0</v>
      </c>
      <c r="Y333" s="193">
        <v>46231.0</v>
      </c>
      <c r="Z333" s="194">
        <v>0.0</v>
      </c>
      <c r="AA333" s="194">
        <v>0.0</v>
      </c>
      <c r="AB333" s="193">
        <f t="shared" si="83"/>
        <v>46231</v>
      </c>
      <c r="AC333" s="66">
        <f t="shared" si="4"/>
        <v>-56</v>
      </c>
      <c r="AD333" s="55"/>
      <c r="AE333" s="55"/>
      <c r="AF333" s="55"/>
      <c r="AG333" s="55"/>
      <c r="AH333" s="86">
        <f t="shared" si="40"/>
        <v>0</v>
      </c>
      <c r="AI333" s="100">
        <f t="shared" si="80"/>
        <v>1100</v>
      </c>
      <c r="AJ333" s="280"/>
      <c r="AK333" s="280"/>
      <c r="AL333" s="280"/>
      <c r="AM333" s="280"/>
      <c r="AN333" s="280"/>
      <c r="AO333" s="280">
        <v>0.0</v>
      </c>
      <c r="AP333" s="178">
        <f t="shared" si="81"/>
        <v>1100</v>
      </c>
      <c r="AQ333" s="280">
        <v>0.0</v>
      </c>
      <c r="AR333" s="113">
        <f t="shared" si="79"/>
        <v>0</v>
      </c>
      <c r="AS333" s="113">
        <v>0.0</v>
      </c>
      <c r="AT333" s="224">
        <f t="shared" si="73"/>
        <v>1</v>
      </c>
      <c r="AU333" s="224" t="str">
        <f t="shared" si="23"/>
        <v>#DIV/0!</v>
      </c>
      <c r="AV333" s="184"/>
      <c r="AW333" s="74"/>
      <c r="AX333" s="214"/>
      <c r="AY333" s="215"/>
      <c r="AZ333" s="210"/>
      <c r="BA333" s="210"/>
      <c r="BB333" s="219"/>
      <c r="BC333" s="77"/>
      <c r="BD333" s="210"/>
      <c r="BE333" s="117"/>
      <c r="BF333" s="199"/>
      <c r="BG333" s="199"/>
      <c r="BH333" s="199"/>
    </row>
    <row r="334" ht="104.25" customHeight="1">
      <c r="A334" s="50">
        <v>333.0</v>
      </c>
      <c r="B334" s="463">
        <v>2025.0</v>
      </c>
      <c r="C334" s="464" t="s">
        <v>1255</v>
      </c>
      <c r="D334" s="465" t="s">
        <v>74</v>
      </c>
      <c r="E334" s="464" t="s">
        <v>1256</v>
      </c>
      <c r="F334" s="53">
        <v>2.025003050045E12</v>
      </c>
      <c r="G334" s="184" t="s">
        <v>295</v>
      </c>
      <c r="H334" s="184" t="str">
        <f t="shared" si="84"/>
        <v>NARIÑO</v>
      </c>
      <c r="I334" s="184" t="s">
        <v>120</v>
      </c>
      <c r="J334" s="184" t="s">
        <v>1331</v>
      </c>
      <c r="K334" s="184"/>
      <c r="L334" s="184">
        <v>8.0</v>
      </c>
      <c r="M334" s="100">
        <v>1000.0</v>
      </c>
      <c r="N334" s="187">
        <v>0.0</v>
      </c>
      <c r="O334" s="113">
        <v>0.0</v>
      </c>
      <c r="P334" s="113">
        <v>0.0</v>
      </c>
      <c r="Q334" s="188">
        <f t="shared" si="2"/>
        <v>0</v>
      </c>
      <c r="R334" s="189">
        <v>0.0</v>
      </c>
      <c r="S334" s="189">
        <v>0.0</v>
      </c>
      <c r="T334" s="190">
        <f t="shared" si="3"/>
        <v>0</v>
      </c>
      <c r="U334" s="221" t="s">
        <v>64</v>
      </c>
      <c r="V334" s="221" t="s">
        <v>64</v>
      </c>
      <c r="W334" s="192"/>
      <c r="X334" s="193">
        <v>46013.0</v>
      </c>
      <c r="Y334" s="193">
        <v>46388.0</v>
      </c>
      <c r="Z334" s="194">
        <v>0.0</v>
      </c>
      <c r="AA334" s="194">
        <v>0.0</v>
      </c>
      <c r="AB334" s="193">
        <f t="shared" si="83"/>
        <v>46388</v>
      </c>
      <c r="AC334" s="66">
        <f t="shared" si="4"/>
        <v>101</v>
      </c>
      <c r="AD334" s="55"/>
      <c r="AE334" s="55"/>
      <c r="AF334" s="55"/>
      <c r="AG334" s="55"/>
      <c r="AH334" s="86">
        <f t="shared" si="40"/>
        <v>0</v>
      </c>
      <c r="AI334" s="27">
        <f t="shared" si="80"/>
        <v>1000</v>
      </c>
      <c r="AJ334" s="51"/>
      <c r="AK334" s="280"/>
      <c r="AL334" s="280"/>
      <c r="AM334" s="280"/>
      <c r="AN334" s="280"/>
      <c r="AO334" s="280">
        <v>0.0</v>
      </c>
      <c r="AP334" s="178">
        <f t="shared" si="81"/>
        <v>1000</v>
      </c>
      <c r="AQ334" s="280">
        <v>0.0</v>
      </c>
      <c r="AR334" s="113">
        <f t="shared" si="79"/>
        <v>0</v>
      </c>
      <c r="AS334" s="113">
        <v>0.0</v>
      </c>
      <c r="AT334" s="224">
        <f t="shared" si="73"/>
        <v>1</v>
      </c>
      <c r="AU334" s="224" t="str">
        <f t="shared" si="23"/>
        <v>#DIV/0!</v>
      </c>
      <c r="AV334" s="184"/>
      <c r="AW334" s="74"/>
      <c r="AX334" s="214"/>
      <c r="AY334" s="215"/>
      <c r="AZ334" s="210"/>
      <c r="BA334" s="210"/>
      <c r="BB334" s="219"/>
      <c r="BC334" s="77"/>
      <c r="BD334" s="210"/>
      <c r="BE334" s="117"/>
      <c r="BF334" s="199"/>
      <c r="BG334" s="199"/>
      <c r="BH334" s="199"/>
    </row>
    <row r="335" ht="104.25" customHeight="1">
      <c r="A335" s="50">
        <v>334.0</v>
      </c>
      <c r="B335" s="463">
        <v>2025.0</v>
      </c>
      <c r="C335" s="464" t="s">
        <v>1255</v>
      </c>
      <c r="D335" s="465" t="s">
        <v>74</v>
      </c>
      <c r="E335" s="464" t="s">
        <v>1256</v>
      </c>
      <c r="F335" s="53">
        <v>2.02500305005E12</v>
      </c>
      <c r="G335" s="184" t="s">
        <v>131</v>
      </c>
      <c r="H335" s="184" t="str">
        <f t="shared" si="84"/>
        <v>HELICONIA</v>
      </c>
      <c r="I335" s="184" t="s">
        <v>127</v>
      </c>
      <c r="J335" s="184" t="s">
        <v>1332</v>
      </c>
      <c r="K335" s="184"/>
      <c r="L335" s="184">
        <v>8.0</v>
      </c>
      <c r="M335" s="100">
        <v>1000.0</v>
      </c>
      <c r="N335" s="187">
        <v>0.0</v>
      </c>
      <c r="O335" s="113">
        <v>0.0</v>
      </c>
      <c r="P335" s="113">
        <v>0.0</v>
      </c>
      <c r="Q335" s="188">
        <f t="shared" si="2"/>
        <v>0</v>
      </c>
      <c r="R335" s="189">
        <v>0.0</v>
      </c>
      <c r="S335" s="189">
        <v>0.0</v>
      </c>
      <c r="T335" s="190">
        <f t="shared" si="3"/>
        <v>0</v>
      </c>
      <c r="U335" s="221" t="s">
        <v>64</v>
      </c>
      <c r="V335" s="221" t="s">
        <v>64</v>
      </c>
      <c r="W335" s="192"/>
      <c r="X335" s="193">
        <v>46014.0</v>
      </c>
      <c r="Y335" s="193">
        <v>46212.0</v>
      </c>
      <c r="Z335" s="194">
        <v>0.0</v>
      </c>
      <c r="AA335" s="194">
        <v>0.0</v>
      </c>
      <c r="AB335" s="193">
        <f t="shared" si="83"/>
        <v>46212</v>
      </c>
      <c r="AC335" s="66">
        <f t="shared" si="4"/>
        <v>-75</v>
      </c>
      <c r="AD335" s="55"/>
      <c r="AE335" s="55"/>
      <c r="AF335" s="55"/>
      <c r="AG335" s="55"/>
      <c r="AH335" s="86">
        <f t="shared" si="40"/>
        <v>0</v>
      </c>
      <c r="AI335" s="27">
        <f t="shared" si="80"/>
        <v>1000</v>
      </c>
      <c r="AJ335" s="51"/>
      <c r="AK335" s="280"/>
      <c r="AL335" s="280"/>
      <c r="AM335" s="280"/>
      <c r="AN335" s="280"/>
      <c r="AO335" s="280">
        <v>0.0</v>
      </c>
      <c r="AP335" s="178">
        <f t="shared" si="81"/>
        <v>1000</v>
      </c>
      <c r="AQ335" s="280">
        <v>0.0</v>
      </c>
      <c r="AR335" s="113">
        <f t="shared" si="79"/>
        <v>0</v>
      </c>
      <c r="AS335" s="113">
        <v>0.0</v>
      </c>
      <c r="AT335" s="224">
        <f t="shared" si="73"/>
        <v>1</v>
      </c>
      <c r="AU335" s="224" t="str">
        <f t="shared" si="23"/>
        <v>#DIV/0!</v>
      </c>
      <c r="AV335" s="184"/>
      <c r="AW335" s="74"/>
      <c r="AX335" s="214"/>
      <c r="AY335" s="215"/>
      <c r="AZ335" s="210"/>
      <c r="BA335" s="210"/>
      <c r="BB335" s="219"/>
      <c r="BC335" s="77"/>
      <c r="BD335" s="210"/>
      <c r="BE335" s="117"/>
      <c r="BF335" s="199"/>
      <c r="BG335" s="199"/>
      <c r="BH335" s="199"/>
    </row>
    <row r="336" ht="104.25" customHeight="1">
      <c r="A336" s="50">
        <v>335.0</v>
      </c>
      <c r="B336" s="463">
        <v>2025.0</v>
      </c>
      <c r="C336" s="464" t="s">
        <v>1255</v>
      </c>
      <c r="D336" s="465" t="s">
        <v>74</v>
      </c>
      <c r="E336" s="464" t="s">
        <v>1256</v>
      </c>
      <c r="F336" s="53">
        <v>2.025003050049E12</v>
      </c>
      <c r="G336" s="184" t="s">
        <v>173</v>
      </c>
      <c r="H336" s="184" t="str">
        <f t="shared" si="84"/>
        <v>CAMPAMENTO</v>
      </c>
      <c r="I336" s="184" t="s">
        <v>174</v>
      </c>
      <c r="J336" s="184" t="s">
        <v>1333</v>
      </c>
      <c r="K336" s="184"/>
      <c r="L336" s="184">
        <v>8.0</v>
      </c>
      <c r="M336" s="100">
        <v>1000.0</v>
      </c>
      <c r="N336" s="187">
        <v>0.0</v>
      </c>
      <c r="O336" s="113">
        <v>0.0</v>
      </c>
      <c r="P336" s="113">
        <v>0.0</v>
      </c>
      <c r="Q336" s="188">
        <f t="shared" si="2"/>
        <v>0</v>
      </c>
      <c r="R336" s="189">
        <v>0.0</v>
      </c>
      <c r="S336" s="189">
        <v>0.0</v>
      </c>
      <c r="T336" s="190">
        <f t="shared" si="3"/>
        <v>0</v>
      </c>
      <c r="U336" s="221" t="s">
        <v>64</v>
      </c>
      <c r="V336" s="221" t="s">
        <v>64</v>
      </c>
      <c r="W336" s="192"/>
      <c r="X336" s="193">
        <v>46014.0</v>
      </c>
      <c r="Y336" s="193">
        <v>46214.0</v>
      </c>
      <c r="Z336" s="194">
        <v>0.0</v>
      </c>
      <c r="AA336" s="194">
        <v>0.0</v>
      </c>
      <c r="AB336" s="193">
        <f t="shared" si="83"/>
        <v>46214</v>
      </c>
      <c r="AC336" s="66">
        <f t="shared" si="4"/>
        <v>-73</v>
      </c>
      <c r="AD336" s="55"/>
      <c r="AE336" s="55"/>
      <c r="AF336" s="55"/>
      <c r="AG336" s="55"/>
      <c r="AH336" s="86">
        <f t="shared" si="40"/>
        <v>0</v>
      </c>
      <c r="AI336" s="27">
        <f t="shared" si="80"/>
        <v>1000</v>
      </c>
      <c r="AJ336" s="51"/>
      <c r="AK336" s="280"/>
      <c r="AL336" s="280"/>
      <c r="AM336" s="280"/>
      <c r="AN336" s="280"/>
      <c r="AO336" s="280">
        <v>0.0</v>
      </c>
      <c r="AP336" s="178">
        <f t="shared" si="81"/>
        <v>1000</v>
      </c>
      <c r="AQ336" s="280">
        <v>0.0</v>
      </c>
      <c r="AR336" s="113">
        <f t="shared" si="79"/>
        <v>0</v>
      </c>
      <c r="AS336" s="113">
        <v>0.0</v>
      </c>
      <c r="AT336" s="224">
        <f t="shared" si="73"/>
        <v>1</v>
      </c>
      <c r="AU336" s="224" t="str">
        <f t="shared" si="23"/>
        <v>#DIV/0!</v>
      </c>
      <c r="AV336" s="184"/>
      <c r="AW336" s="74"/>
      <c r="AX336" s="214"/>
      <c r="AY336" s="215"/>
      <c r="AZ336" s="210"/>
      <c r="BA336" s="210"/>
      <c r="BB336" s="219"/>
      <c r="BC336" s="77"/>
      <c r="BD336" s="210"/>
      <c r="BE336" s="117"/>
      <c r="BF336" s="199"/>
      <c r="BG336" s="199"/>
      <c r="BH336" s="199"/>
    </row>
    <row r="337" ht="104.25" customHeight="1">
      <c r="A337" s="50">
        <v>336.0</v>
      </c>
      <c r="B337" s="463">
        <v>2026.0</v>
      </c>
      <c r="C337" s="464" t="s">
        <v>1255</v>
      </c>
      <c r="D337" s="465" t="s">
        <v>74</v>
      </c>
      <c r="E337" s="464" t="s">
        <v>1256</v>
      </c>
      <c r="F337" s="53">
        <v>2.025003050047E12</v>
      </c>
      <c r="G337" s="184" t="s">
        <v>201</v>
      </c>
      <c r="H337" s="184" t="str">
        <f t="shared" si="84"/>
        <v>ALEJANDRÍA</v>
      </c>
      <c r="I337" s="184" t="s">
        <v>120</v>
      </c>
      <c r="J337" s="184" t="s">
        <v>1334</v>
      </c>
      <c r="K337" s="184"/>
      <c r="L337" s="184">
        <v>8.0</v>
      </c>
      <c r="M337" s="100">
        <v>1000.0</v>
      </c>
      <c r="N337" s="187">
        <v>0.0</v>
      </c>
      <c r="O337" s="113">
        <v>0.0</v>
      </c>
      <c r="P337" s="113">
        <v>0.0</v>
      </c>
      <c r="Q337" s="188">
        <f t="shared" si="2"/>
        <v>0</v>
      </c>
      <c r="R337" s="189">
        <v>0.0</v>
      </c>
      <c r="S337" s="189">
        <v>0.0</v>
      </c>
      <c r="T337" s="190">
        <f t="shared" si="3"/>
        <v>0</v>
      </c>
      <c r="U337" s="221" t="s">
        <v>387</v>
      </c>
      <c r="V337" s="221" t="s">
        <v>387</v>
      </c>
      <c r="W337" s="192"/>
      <c r="X337" s="193">
        <v>46072.0</v>
      </c>
      <c r="Y337" s="193">
        <v>46242.0</v>
      </c>
      <c r="Z337" s="194">
        <v>0.0</v>
      </c>
      <c r="AA337" s="194">
        <v>0.0</v>
      </c>
      <c r="AB337" s="193">
        <f t="shared" si="83"/>
        <v>46242</v>
      </c>
      <c r="AC337" s="66">
        <f t="shared" si="4"/>
        <v>-45</v>
      </c>
      <c r="AD337" s="55"/>
      <c r="AE337" s="55"/>
      <c r="AF337" s="55"/>
      <c r="AG337" s="55"/>
      <c r="AH337" s="86">
        <f t="shared" si="40"/>
        <v>0</v>
      </c>
      <c r="AI337" s="27">
        <f t="shared" si="80"/>
        <v>1000</v>
      </c>
      <c r="AJ337" s="51"/>
      <c r="AK337" s="280"/>
      <c r="AL337" s="280"/>
      <c r="AM337" s="280"/>
      <c r="AN337" s="280"/>
      <c r="AO337" s="280">
        <v>0.0</v>
      </c>
      <c r="AP337" s="178">
        <f t="shared" si="81"/>
        <v>1000</v>
      </c>
      <c r="AQ337" s="280">
        <v>0.0</v>
      </c>
      <c r="AR337" s="113">
        <f t="shared" si="79"/>
        <v>0</v>
      </c>
      <c r="AS337" s="113">
        <v>0.0</v>
      </c>
      <c r="AT337" s="224">
        <f t="shared" si="73"/>
        <v>1</v>
      </c>
      <c r="AU337" s="224" t="str">
        <f t="shared" si="23"/>
        <v>#DIV/0!</v>
      </c>
      <c r="AV337" s="184"/>
      <c r="AW337" s="74"/>
      <c r="AX337" s="214"/>
      <c r="AY337" s="215"/>
      <c r="AZ337" s="210"/>
      <c r="BA337" s="210"/>
      <c r="BB337" s="219"/>
      <c r="BC337" s="77"/>
      <c r="BD337" s="210"/>
      <c r="BE337" s="117"/>
      <c r="BF337" s="199"/>
      <c r="BG337" s="199"/>
      <c r="BH337" s="199"/>
    </row>
    <row r="338" ht="104.25" customHeight="1">
      <c r="A338" s="50">
        <v>337.0</v>
      </c>
      <c r="B338" s="463">
        <v>2026.0</v>
      </c>
      <c r="C338" s="464" t="s">
        <v>1255</v>
      </c>
      <c r="D338" s="465" t="s">
        <v>118</v>
      </c>
      <c r="E338" s="464" t="s">
        <v>1256</v>
      </c>
      <c r="F338" s="53">
        <v>2.02500305006E12</v>
      </c>
      <c r="G338" s="184" t="s">
        <v>895</v>
      </c>
      <c r="H338" s="184" t="str">
        <f t="shared" si="84"/>
        <v>CHIGORODÓ</v>
      </c>
      <c r="I338" s="184" t="s">
        <v>61</v>
      </c>
      <c r="J338" s="184" t="s">
        <v>1335</v>
      </c>
      <c r="K338" s="184"/>
      <c r="L338" s="184">
        <v>8.0</v>
      </c>
      <c r="M338" s="100">
        <v>1070.0</v>
      </c>
      <c r="N338" s="187">
        <v>0.0</v>
      </c>
      <c r="O338" s="113">
        <v>0.0</v>
      </c>
      <c r="P338" s="113">
        <v>0.0</v>
      </c>
      <c r="Q338" s="188">
        <f t="shared" si="2"/>
        <v>0</v>
      </c>
      <c r="R338" s="189">
        <v>0.0</v>
      </c>
      <c r="S338" s="189">
        <v>0.0</v>
      </c>
      <c r="T338" s="190">
        <f t="shared" si="3"/>
        <v>0</v>
      </c>
      <c r="U338" s="221" t="s">
        <v>387</v>
      </c>
      <c r="V338" s="221" t="s">
        <v>387</v>
      </c>
      <c r="W338" s="192"/>
      <c r="X338" s="193">
        <v>46048.0</v>
      </c>
      <c r="Y338" s="193">
        <v>46231.0</v>
      </c>
      <c r="Z338" s="194">
        <v>0.0</v>
      </c>
      <c r="AA338" s="194">
        <v>0.0</v>
      </c>
      <c r="AB338" s="193">
        <f t="shared" si="83"/>
        <v>46231</v>
      </c>
      <c r="AC338" s="66">
        <f t="shared" si="4"/>
        <v>-56</v>
      </c>
      <c r="AD338" s="55"/>
      <c r="AE338" s="55"/>
      <c r="AF338" s="55"/>
      <c r="AG338" s="55"/>
      <c r="AH338" s="86">
        <f t="shared" si="40"/>
        <v>0</v>
      </c>
      <c r="AI338" s="100">
        <f t="shared" si="80"/>
        <v>1070</v>
      </c>
      <c r="AJ338" s="280"/>
      <c r="AK338" s="280"/>
      <c r="AL338" s="280"/>
      <c r="AM338" s="280"/>
      <c r="AN338" s="280"/>
      <c r="AO338" s="280">
        <v>0.0</v>
      </c>
      <c r="AP338" s="178">
        <f t="shared" si="81"/>
        <v>1070</v>
      </c>
      <c r="AQ338" s="280">
        <v>0.0</v>
      </c>
      <c r="AR338" s="113">
        <f t="shared" si="79"/>
        <v>0</v>
      </c>
      <c r="AS338" s="113">
        <v>0.0</v>
      </c>
      <c r="AT338" s="224">
        <f t="shared" si="73"/>
        <v>1</v>
      </c>
      <c r="AU338" s="224" t="str">
        <f t="shared" si="23"/>
        <v>#DIV/0!</v>
      </c>
      <c r="AV338" s="184"/>
      <c r="AW338" s="74"/>
      <c r="AX338" s="214"/>
      <c r="AY338" s="215"/>
      <c r="AZ338" s="210"/>
      <c r="BA338" s="210"/>
      <c r="BB338" s="219"/>
      <c r="BC338" s="77"/>
      <c r="BD338" s="210"/>
      <c r="BE338" s="117"/>
      <c r="BF338" s="199"/>
      <c r="BG338" s="199"/>
      <c r="BH338" s="199"/>
    </row>
    <row r="339" ht="104.25" customHeight="1">
      <c r="A339" s="50">
        <v>338.0</v>
      </c>
      <c r="B339" s="463">
        <v>2026.0</v>
      </c>
      <c r="C339" s="464" t="s">
        <v>1255</v>
      </c>
      <c r="D339" s="465" t="s">
        <v>118</v>
      </c>
      <c r="E339" s="464" t="s">
        <v>1256</v>
      </c>
      <c r="F339" s="53">
        <v>2.02600305001E12</v>
      </c>
      <c r="G339" s="184" t="s">
        <v>895</v>
      </c>
      <c r="H339" s="184" t="str">
        <f t="shared" si="84"/>
        <v>CHIGORODÓ</v>
      </c>
      <c r="I339" s="184" t="s">
        <v>61</v>
      </c>
      <c r="J339" s="184" t="s">
        <v>1336</v>
      </c>
      <c r="K339" s="184"/>
      <c r="L339" s="184">
        <v>8.0</v>
      </c>
      <c r="M339" s="100">
        <v>800.0</v>
      </c>
      <c r="N339" s="187">
        <v>0.0</v>
      </c>
      <c r="O339" s="113">
        <v>0.0</v>
      </c>
      <c r="P339" s="113">
        <v>0.0</v>
      </c>
      <c r="Q339" s="188">
        <f t="shared" si="2"/>
        <v>0</v>
      </c>
      <c r="R339" s="189">
        <v>0.0</v>
      </c>
      <c r="S339" s="189">
        <v>0.0</v>
      </c>
      <c r="T339" s="190">
        <f t="shared" si="3"/>
        <v>0</v>
      </c>
      <c r="U339" s="221" t="s">
        <v>387</v>
      </c>
      <c r="V339" s="221" t="s">
        <v>387</v>
      </c>
      <c r="W339" s="192"/>
      <c r="X339" s="193">
        <v>46105.0</v>
      </c>
      <c r="Y339" s="193">
        <v>46436.0</v>
      </c>
      <c r="Z339" s="194">
        <v>0.0</v>
      </c>
      <c r="AA339" s="194">
        <v>0.0</v>
      </c>
      <c r="AB339" s="193">
        <f t="shared" si="83"/>
        <v>46436</v>
      </c>
      <c r="AC339" s="66">
        <f t="shared" si="4"/>
        <v>149</v>
      </c>
      <c r="AD339" s="55"/>
      <c r="AE339" s="55"/>
      <c r="AF339" s="55"/>
      <c r="AG339" s="55"/>
      <c r="AH339" s="86">
        <f t="shared" si="40"/>
        <v>0</v>
      </c>
      <c r="AI339" s="100">
        <f t="shared" si="80"/>
        <v>800</v>
      </c>
      <c r="AJ339" s="280"/>
      <c r="AK339" s="280"/>
      <c r="AL339" s="280"/>
      <c r="AM339" s="280"/>
      <c r="AN339" s="280"/>
      <c r="AO339" s="280">
        <v>0.0</v>
      </c>
      <c r="AP339" s="178">
        <f t="shared" si="81"/>
        <v>800</v>
      </c>
      <c r="AQ339" s="280">
        <v>0.0</v>
      </c>
      <c r="AR339" s="113">
        <f t="shared" si="79"/>
        <v>0</v>
      </c>
      <c r="AS339" s="113">
        <v>0.0</v>
      </c>
      <c r="AT339" s="224">
        <f t="shared" si="73"/>
        <v>1</v>
      </c>
      <c r="AU339" s="224" t="str">
        <f t="shared" si="23"/>
        <v>#DIV/0!</v>
      </c>
      <c r="AV339" s="184"/>
      <c r="AW339" s="74"/>
      <c r="AX339" s="214"/>
      <c r="AY339" s="215"/>
      <c r="AZ339" s="210"/>
      <c r="BA339" s="210"/>
      <c r="BB339" s="219"/>
      <c r="BC339" s="77"/>
      <c r="BD339" s="210"/>
      <c r="BE339" s="117"/>
      <c r="BF339" s="199"/>
      <c r="BG339" s="199"/>
      <c r="BH339" s="199"/>
    </row>
    <row r="340" ht="104.25" customHeight="1">
      <c r="A340" s="50">
        <v>339.0</v>
      </c>
      <c r="B340" s="463">
        <v>2026.0</v>
      </c>
      <c r="C340" s="464" t="s">
        <v>1255</v>
      </c>
      <c r="D340" s="465" t="s">
        <v>74</v>
      </c>
      <c r="E340" s="464" t="s">
        <v>1256</v>
      </c>
      <c r="F340" s="53">
        <v>2.026003050009E12</v>
      </c>
      <c r="G340" s="184" t="s">
        <v>877</v>
      </c>
      <c r="H340" s="184" t="str">
        <f t="shared" si="84"/>
        <v>EL SANTUARIO</v>
      </c>
      <c r="I340" s="184" t="s">
        <v>120</v>
      </c>
      <c r="J340" s="184" t="s">
        <v>1337</v>
      </c>
      <c r="K340" s="184"/>
      <c r="L340" s="184">
        <v>8.0</v>
      </c>
      <c r="M340" s="100">
        <v>2000.0</v>
      </c>
      <c r="N340" s="187">
        <v>0.0</v>
      </c>
      <c r="O340" s="113">
        <v>0.0</v>
      </c>
      <c r="P340" s="113">
        <v>0.0</v>
      </c>
      <c r="Q340" s="188">
        <f t="shared" si="2"/>
        <v>0</v>
      </c>
      <c r="R340" s="189">
        <v>0.0</v>
      </c>
      <c r="S340" s="189">
        <v>0.0</v>
      </c>
      <c r="T340" s="190">
        <f t="shared" si="3"/>
        <v>0</v>
      </c>
      <c r="U340" s="221" t="s">
        <v>387</v>
      </c>
      <c r="V340" s="221" t="s">
        <v>387</v>
      </c>
      <c r="W340" s="192"/>
      <c r="X340" s="193">
        <v>46107.0</v>
      </c>
      <c r="Y340" s="193">
        <v>46450.0</v>
      </c>
      <c r="Z340" s="194">
        <v>0.0</v>
      </c>
      <c r="AA340" s="194">
        <v>0.0</v>
      </c>
      <c r="AB340" s="193">
        <f t="shared" si="83"/>
        <v>46450</v>
      </c>
      <c r="AC340" s="66">
        <f t="shared" si="4"/>
        <v>163</v>
      </c>
      <c r="AD340" s="55"/>
      <c r="AE340" s="55"/>
      <c r="AF340" s="55"/>
      <c r="AG340" s="55"/>
      <c r="AH340" s="86">
        <f t="shared" si="40"/>
        <v>0</v>
      </c>
      <c r="AI340" s="100">
        <f t="shared" si="80"/>
        <v>2000</v>
      </c>
      <c r="AJ340" s="280"/>
      <c r="AK340" s="280"/>
      <c r="AL340" s="280"/>
      <c r="AM340" s="280"/>
      <c r="AN340" s="280"/>
      <c r="AO340" s="280">
        <v>0.0</v>
      </c>
      <c r="AP340" s="178">
        <f t="shared" si="81"/>
        <v>2000</v>
      </c>
      <c r="AQ340" s="280">
        <v>0.0</v>
      </c>
      <c r="AR340" s="113">
        <f t="shared" si="79"/>
        <v>0</v>
      </c>
      <c r="AS340" s="113">
        <v>0.0</v>
      </c>
      <c r="AT340" s="224">
        <f t="shared" si="73"/>
        <v>1</v>
      </c>
      <c r="AU340" s="224" t="str">
        <f t="shared" si="23"/>
        <v>#DIV/0!</v>
      </c>
      <c r="AV340" s="184"/>
      <c r="AW340" s="74"/>
      <c r="AX340" s="214"/>
      <c r="AY340" s="215"/>
      <c r="AZ340" s="210"/>
      <c r="BA340" s="210"/>
      <c r="BB340" s="219"/>
      <c r="BC340" s="77"/>
      <c r="BD340" s="210"/>
      <c r="BE340" s="117"/>
      <c r="BF340" s="199"/>
      <c r="BG340" s="199"/>
      <c r="BH340" s="199"/>
    </row>
    <row r="341" ht="104.25" customHeight="1">
      <c r="A341" s="50">
        <v>340.0</v>
      </c>
      <c r="B341" s="463">
        <v>2026.0</v>
      </c>
      <c r="C341" s="464" t="s">
        <v>1255</v>
      </c>
      <c r="D341" s="465" t="s">
        <v>74</v>
      </c>
      <c r="E341" s="464" t="s">
        <v>1256</v>
      </c>
      <c r="F341" s="53">
        <v>2.025003050057E12</v>
      </c>
      <c r="G341" s="184" t="s">
        <v>909</v>
      </c>
      <c r="H341" s="184" t="str">
        <f t="shared" si="84"/>
        <v>ANGOSTURA</v>
      </c>
      <c r="I341" s="184" t="s">
        <v>174</v>
      </c>
      <c r="J341" s="184" t="s">
        <v>1338</v>
      </c>
      <c r="K341" s="184"/>
      <c r="L341" s="184">
        <v>8.0</v>
      </c>
      <c r="M341" s="100">
        <v>1000.0</v>
      </c>
      <c r="N341" s="187">
        <v>0.0</v>
      </c>
      <c r="O341" s="113">
        <v>0.0</v>
      </c>
      <c r="P341" s="113">
        <v>0.0</v>
      </c>
      <c r="Q341" s="188">
        <f t="shared" si="2"/>
        <v>0</v>
      </c>
      <c r="R341" s="189">
        <v>0.0</v>
      </c>
      <c r="S341" s="189">
        <v>0.0</v>
      </c>
      <c r="T341" s="190">
        <f t="shared" si="3"/>
        <v>0</v>
      </c>
      <c r="U341" s="221" t="s">
        <v>387</v>
      </c>
      <c r="V341" s="221" t="s">
        <v>387</v>
      </c>
      <c r="W341" s="192"/>
      <c r="X341" s="193">
        <v>46299.0</v>
      </c>
      <c r="Y341" s="467">
        <v>46450.0</v>
      </c>
      <c r="Z341" s="194">
        <v>0.0</v>
      </c>
      <c r="AA341" s="194">
        <v>0.0</v>
      </c>
      <c r="AB341" s="193">
        <f t="shared" si="83"/>
        <v>46450</v>
      </c>
      <c r="AC341" s="66">
        <f t="shared" si="4"/>
        <v>163</v>
      </c>
      <c r="AD341" s="55"/>
      <c r="AE341" s="55"/>
      <c r="AF341" s="55"/>
      <c r="AG341" s="55"/>
      <c r="AH341" s="86">
        <f t="shared" si="40"/>
        <v>0</v>
      </c>
      <c r="AI341" s="27">
        <f t="shared" si="80"/>
        <v>1000</v>
      </c>
      <c r="AJ341" s="51"/>
      <c r="AK341" s="280"/>
      <c r="AL341" s="280"/>
      <c r="AM341" s="280"/>
      <c r="AN341" s="280"/>
      <c r="AO341" s="280">
        <v>0.0</v>
      </c>
      <c r="AP341" s="178">
        <f t="shared" si="81"/>
        <v>1000</v>
      </c>
      <c r="AQ341" s="280">
        <v>0.0</v>
      </c>
      <c r="AR341" s="113">
        <f t="shared" si="79"/>
        <v>0</v>
      </c>
      <c r="AS341" s="113">
        <v>0.0</v>
      </c>
      <c r="AT341" s="224">
        <f t="shared" si="73"/>
        <v>1</v>
      </c>
      <c r="AU341" s="224" t="str">
        <f t="shared" si="23"/>
        <v>#DIV/0!</v>
      </c>
      <c r="AV341" s="184"/>
      <c r="AW341" s="74"/>
      <c r="AX341" s="214"/>
      <c r="AY341" s="215"/>
      <c r="AZ341" s="210"/>
      <c r="BA341" s="210"/>
      <c r="BB341" s="219"/>
      <c r="BC341" s="77"/>
      <c r="BD341" s="210"/>
      <c r="BE341" s="117"/>
      <c r="BF341" s="199"/>
      <c r="BG341" s="199"/>
      <c r="BH341" s="199"/>
    </row>
    <row r="342" ht="104.25" customHeight="1">
      <c r="A342" s="50">
        <v>341.0</v>
      </c>
      <c r="B342" s="463">
        <v>2026.0</v>
      </c>
      <c r="C342" s="464" t="s">
        <v>1255</v>
      </c>
      <c r="D342" s="465" t="s">
        <v>74</v>
      </c>
      <c r="E342" s="464" t="s">
        <v>1256</v>
      </c>
      <c r="F342" s="53">
        <v>2.025003050052E12</v>
      </c>
      <c r="G342" s="184" t="s">
        <v>285</v>
      </c>
      <c r="H342" s="184" t="str">
        <f t="shared" si="84"/>
        <v>EL RETIRO</v>
      </c>
      <c r="I342" s="184" t="s">
        <v>120</v>
      </c>
      <c r="J342" s="184" t="s">
        <v>1339</v>
      </c>
      <c r="K342" s="184"/>
      <c r="L342" s="184">
        <v>8.0</v>
      </c>
      <c r="M342" s="100">
        <v>1000.0</v>
      </c>
      <c r="N342" s="187">
        <v>0.0</v>
      </c>
      <c r="O342" s="113">
        <v>0.0</v>
      </c>
      <c r="P342" s="113">
        <v>0.0</v>
      </c>
      <c r="Q342" s="188">
        <f t="shared" si="2"/>
        <v>0</v>
      </c>
      <c r="R342" s="189">
        <v>0.0</v>
      </c>
      <c r="S342" s="189">
        <v>0.0</v>
      </c>
      <c r="T342" s="190">
        <f t="shared" si="3"/>
        <v>0</v>
      </c>
      <c r="U342" s="221" t="s">
        <v>387</v>
      </c>
      <c r="V342" s="221" t="s">
        <v>387</v>
      </c>
      <c r="W342" s="192"/>
      <c r="X342" s="193">
        <v>46132.0</v>
      </c>
      <c r="Y342" s="467">
        <v>46451.0</v>
      </c>
      <c r="Z342" s="194">
        <v>0.0</v>
      </c>
      <c r="AA342" s="194">
        <v>0.0</v>
      </c>
      <c r="AB342" s="193">
        <f t="shared" si="83"/>
        <v>46451</v>
      </c>
      <c r="AC342" s="66">
        <f t="shared" si="4"/>
        <v>164</v>
      </c>
      <c r="AD342" s="55"/>
      <c r="AE342" s="55"/>
      <c r="AF342" s="55"/>
      <c r="AG342" s="55"/>
      <c r="AH342" s="86">
        <f t="shared" si="40"/>
        <v>0</v>
      </c>
      <c r="AI342" s="27">
        <f t="shared" si="80"/>
        <v>1000</v>
      </c>
      <c r="AJ342" s="51"/>
      <c r="AK342" s="280"/>
      <c r="AL342" s="280"/>
      <c r="AM342" s="280"/>
      <c r="AN342" s="280"/>
      <c r="AO342" s="280">
        <v>0.0</v>
      </c>
      <c r="AP342" s="178">
        <f t="shared" si="81"/>
        <v>1000</v>
      </c>
      <c r="AQ342" s="280">
        <v>0.0</v>
      </c>
      <c r="AR342" s="113">
        <f t="shared" si="79"/>
        <v>0</v>
      </c>
      <c r="AS342" s="113">
        <v>0.0</v>
      </c>
      <c r="AT342" s="224">
        <f t="shared" si="73"/>
        <v>1</v>
      </c>
      <c r="AU342" s="224" t="str">
        <f t="shared" si="23"/>
        <v>#DIV/0!</v>
      </c>
      <c r="AV342" s="184"/>
      <c r="AW342" s="74"/>
      <c r="AX342" s="214"/>
      <c r="AY342" s="215"/>
      <c r="AZ342" s="210"/>
      <c r="BA342" s="210"/>
      <c r="BB342" s="219"/>
      <c r="BC342" s="77"/>
      <c r="BD342" s="210"/>
      <c r="BE342" s="117"/>
      <c r="BF342" s="199"/>
      <c r="BG342" s="199"/>
      <c r="BH342" s="199"/>
    </row>
    <row r="343" ht="104.25" customHeight="1">
      <c r="A343" s="50">
        <v>342.0</v>
      </c>
      <c r="B343" s="463">
        <v>2026.0</v>
      </c>
      <c r="C343" s="464" t="s">
        <v>1255</v>
      </c>
      <c r="D343" s="465" t="s">
        <v>74</v>
      </c>
      <c r="E343" s="464" t="s">
        <v>1256</v>
      </c>
      <c r="F343" s="53">
        <v>2.026003050017E12</v>
      </c>
      <c r="G343" s="184" t="s">
        <v>157</v>
      </c>
      <c r="H343" s="184" t="str">
        <f t="shared" si="84"/>
        <v>MONTEBELLO</v>
      </c>
      <c r="I343" s="184" t="s">
        <v>78</v>
      </c>
      <c r="J343" s="184" t="s">
        <v>1340</v>
      </c>
      <c r="K343" s="184"/>
      <c r="L343" s="184">
        <v>8.0</v>
      </c>
      <c r="M343" s="100">
        <v>1000.0</v>
      </c>
      <c r="N343" s="187">
        <v>0.0</v>
      </c>
      <c r="O343" s="113">
        <v>0.0</v>
      </c>
      <c r="P343" s="113">
        <v>0.0</v>
      </c>
      <c r="Q343" s="188">
        <f t="shared" si="2"/>
        <v>0</v>
      </c>
      <c r="R343" s="189">
        <v>0.0</v>
      </c>
      <c r="S343" s="189">
        <v>0.0</v>
      </c>
      <c r="T343" s="190">
        <f t="shared" si="3"/>
        <v>0</v>
      </c>
      <c r="U343" s="221" t="s">
        <v>387</v>
      </c>
      <c r="V343" s="221" t="s">
        <v>387</v>
      </c>
      <c r="W343" s="192"/>
      <c r="X343" s="193">
        <v>46147.0</v>
      </c>
      <c r="Y343" s="467">
        <v>46452.0</v>
      </c>
      <c r="Z343" s="194">
        <v>0.0</v>
      </c>
      <c r="AA343" s="194">
        <v>0.0</v>
      </c>
      <c r="AB343" s="193">
        <f t="shared" si="83"/>
        <v>46452</v>
      </c>
      <c r="AC343" s="66">
        <f t="shared" si="4"/>
        <v>165</v>
      </c>
      <c r="AD343" s="55"/>
      <c r="AE343" s="55"/>
      <c r="AF343" s="55"/>
      <c r="AG343" s="55"/>
      <c r="AH343" s="86">
        <f t="shared" si="40"/>
        <v>0</v>
      </c>
      <c r="AI343" s="27">
        <f t="shared" si="80"/>
        <v>1000</v>
      </c>
      <c r="AJ343" s="51"/>
      <c r="AK343" s="280"/>
      <c r="AL343" s="280"/>
      <c r="AM343" s="280"/>
      <c r="AN343" s="280"/>
      <c r="AO343" s="280">
        <v>0.0</v>
      </c>
      <c r="AP343" s="178">
        <f t="shared" si="81"/>
        <v>1000</v>
      </c>
      <c r="AQ343" s="280">
        <v>0.0</v>
      </c>
      <c r="AR343" s="113">
        <f t="shared" si="79"/>
        <v>0</v>
      </c>
      <c r="AS343" s="113">
        <v>0.0</v>
      </c>
      <c r="AT343" s="224">
        <f t="shared" si="73"/>
        <v>1</v>
      </c>
      <c r="AU343" s="224" t="str">
        <f t="shared" si="23"/>
        <v>#DIV/0!</v>
      </c>
      <c r="AV343" s="184"/>
      <c r="AW343" s="74"/>
      <c r="AX343" s="214"/>
      <c r="AY343" s="215"/>
      <c r="AZ343" s="210"/>
      <c r="BA343" s="210"/>
      <c r="BB343" s="219"/>
      <c r="BC343" s="77"/>
      <c r="BD343" s="210"/>
      <c r="BE343" s="117"/>
      <c r="BF343" s="199"/>
      <c r="BG343" s="199"/>
      <c r="BH343" s="199"/>
    </row>
    <row r="344" ht="104.25" customHeight="1">
      <c r="A344" s="50">
        <v>343.0</v>
      </c>
      <c r="B344" s="463">
        <v>2026.0</v>
      </c>
      <c r="C344" s="464" t="s">
        <v>1255</v>
      </c>
      <c r="D344" s="465" t="s">
        <v>74</v>
      </c>
      <c r="E344" s="464" t="s">
        <v>1256</v>
      </c>
      <c r="F344" s="53">
        <v>2.026003050018E12</v>
      </c>
      <c r="G344" s="184" t="s">
        <v>1341</v>
      </c>
      <c r="H344" s="184" t="str">
        <f t="shared" si="84"/>
        <v>ARGELIA</v>
      </c>
      <c r="I344" s="184" t="s">
        <v>120</v>
      </c>
      <c r="J344" s="184" t="s">
        <v>1342</v>
      </c>
      <c r="K344" s="184"/>
      <c r="L344" s="184">
        <v>8.0</v>
      </c>
      <c r="M344" s="100">
        <v>3000.0</v>
      </c>
      <c r="N344" s="187">
        <v>0.0</v>
      </c>
      <c r="O344" s="113">
        <v>0.0</v>
      </c>
      <c r="P344" s="113">
        <v>0.0</v>
      </c>
      <c r="Q344" s="188">
        <f t="shared" si="2"/>
        <v>0</v>
      </c>
      <c r="R344" s="189">
        <v>0.0</v>
      </c>
      <c r="S344" s="189">
        <v>0.0</v>
      </c>
      <c r="T344" s="190">
        <f t="shared" si="3"/>
        <v>0</v>
      </c>
      <c r="U344" s="221" t="s">
        <v>387</v>
      </c>
      <c r="V344" s="221" t="s">
        <v>387</v>
      </c>
      <c r="W344" s="192"/>
      <c r="X344" s="193">
        <v>46129.0</v>
      </c>
      <c r="Y344" s="193">
        <v>46340.0</v>
      </c>
      <c r="Z344" s="194">
        <v>0.0</v>
      </c>
      <c r="AA344" s="194">
        <v>0.0</v>
      </c>
      <c r="AB344" s="193">
        <f t="shared" si="83"/>
        <v>46340</v>
      </c>
      <c r="AC344" s="66">
        <f t="shared" si="4"/>
        <v>53</v>
      </c>
      <c r="AD344" s="55"/>
      <c r="AE344" s="55"/>
      <c r="AF344" s="55"/>
      <c r="AG344" s="55"/>
      <c r="AH344" s="86">
        <f t="shared" si="40"/>
        <v>0</v>
      </c>
      <c r="AI344" s="100">
        <f t="shared" si="80"/>
        <v>3000</v>
      </c>
      <c r="AJ344" s="280"/>
      <c r="AK344" s="280"/>
      <c r="AL344" s="280"/>
      <c r="AM344" s="280"/>
      <c r="AN344" s="280"/>
      <c r="AO344" s="280">
        <v>0.0</v>
      </c>
      <c r="AP344" s="178">
        <f t="shared" si="81"/>
        <v>3000</v>
      </c>
      <c r="AQ344" s="280">
        <v>0.0</v>
      </c>
      <c r="AR344" s="113">
        <f t="shared" si="79"/>
        <v>0</v>
      </c>
      <c r="AS344" s="113">
        <v>0.0</v>
      </c>
      <c r="AT344" s="224">
        <f t="shared" si="73"/>
        <v>1</v>
      </c>
      <c r="AU344" s="224" t="str">
        <f t="shared" si="23"/>
        <v>#DIV/0!</v>
      </c>
      <c r="AV344" s="184"/>
      <c r="AW344" s="74"/>
      <c r="AX344" s="214"/>
      <c r="AY344" s="215"/>
      <c r="AZ344" s="210"/>
      <c r="BA344" s="210"/>
      <c r="BB344" s="219"/>
      <c r="BC344" s="77"/>
      <c r="BD344" s="210"/>
      <c r="BE344" s="117"/>
      <c r="BF344" s="199"/>
      <c r="BG344" s="199"/>
      <c r="BH344" s="199"/>
    </row>
    <row r="345" ht="104.25" customHeight="1">
      <c r="A345" s="50">
        <v>344.0</v>
      </c>
      <c r="B345" s="463">
        <v>2026.0</v>
      </c>
      <c r="C345" s="464" t="s">
        <v>1255</v>
      </c>
      <c r="D345" s="465" t="s">
        <v>74</v>
      </c>
      <c r="E345" s="464" t="s">
        <v>1256</v>
      </c>
      <c r="F345" s="53">
        <v>2.026003050021E12</v>
      </c>
      <c r="G345" s="184" t="s">
        <v>330</v>
      </c>
      <c r="H345" s="184" t="str">
        <f t="shared" si="84"/>
        <v>CISNEROS</v>
      </c>
      <c r="I345" s="184" t="s">
        <v>104</v>
      </c>
      <c r="J345" s="184" t="s">
        <v>1343</v>
      </c>
      <c r="K345" s="184"/>
      <c r="L345" s="184">
        <v>8.0</v>
      </c>
      <c r="M345" s="100">
        <v>1000.0</v>
      </c>
      <c r="N345" s="187">
        <v>0.0</v>
      </c>
      <c r="O345" s="113">
        <v>0.0</v>
      </c>
      <c r="P345" s="113">
        <v>0.0</v>
      </c>
      <c r="Q345" s="188">
        <f t="shared" si="2"/>
        <v>0</v>
      </c>
      <c r="R345" s="189">
        <v>0.0</v>
      </c>
      <c r="S345" s="189">
        <v>0.0</v>
      </c>
      <c r="T345" s="190">
        <f t="shared" si="3"/>
        <v>0</v>
      </c>
      <c r="U345" s="221" t="s">
        <v>387</v>
      </c>
      <c r="V345" s="221" t="s">
        <v>387</v>
      </c>
      <c r="W345" s="192"/>
      <c r="X345" s="193">
        <v>46149.0</v>
      </c>
      <c r="Y345" s="467">
        <v>46452.0</v>
      </c>
      <c r="Z345" s="194">
        <v>0.0</v>
      </c>
      <c r="AA345" s="194">
        <v>0.0</v>
      </c>
      <c r="AB345" s="193">
        <f t="shared" si="83"/>
        <v>46452</v>
      </c>
      <c r="AC345" s="66">
        <f t="shared" si="4"/>
        <v>165</v>
      </c>
      <c r="AD345" s="55"/>
      <c r="AE345" s="55"/>
      <c r="AF345" s="55"/>
      <c r="AG345" s="55"/>
      <c r="AH345" s="86">
        <f t="shared" si="40"/>
        <v>0</v>
      </c>
      <c r="AI345" s="27">
        <f t="shared" si="80"/>
        <v>1000</v>
      </c>
      <c r="AJ345" s="51"/>
      <c r="AK345" s="280"/>
      <c r="AL345" s="280"/>
      <c r="AM345" s="280"/>
      <c r="AN345" s="280"/>
      <c r="AO345" s="280">
        <v>0.0</v>
      </c>
      <c r="AP345" s="178">
        <f t="shared" si="81"/>
        <v>1000</v>
      </c>
      <c r="AQ345" s="280">
        <v>0.0</v>
      </c>
      <c r="AR345" s="113">
        <f t="shared" si="79"/>
        <v>0</v>
      </c>
      <c r="AS345" s="113">
        <v>0.0</v>
      </c>
      <c r="AT345" s="224">
        <f t="shared" si="73"/>
        <v>1</v>
      </c>
      <c r="AU345" s="224" t="str">
        <f t="shared" si="23"/>
        <v>#DIV/0!</v>
      </c>
      <c r="AV345" s="184"/>
      <c r="AW345" s="74"/>
      <c r="AX345" s="214"/>
      <c r="AY345" s="215"/>
      <c r="AZ345" s="210"/>
      <c r="BA345" s="210"/>
      <c r="BB345" s="219"/>
      <c r="BC345" s="77"/>
      <c r="BD345" s="210"/>
      <c r="BE345" s="117"/>
      <c r="BF345" s="199"/>
      <c r="BG345" s="199"/>
      <c r="BH345" s="199"/>
    </row>
    <row r="346" ht="104.25" customHeight="1">
      <c r="A346" s="50">
        <v>345.0</v>
      </c>
      <c r="B346" s="463">
        <v>2026.0</v>
      </c>
      <c r="C346" s="464" t="s">
        <v>1255</v>
      </c>
      <c r="D346" s="465" t="s">
        <v>74</v>
      </c>
      <c r="E346" s="464" t="s">
        <v>1256</v>
      </c>
      <c r="F346" s="53">
        <v>2.026003050005E12</v>
      </c>
      <c r="G346" s="184" t="s">
        <v>1344</v>
      </c>
      <c r="H346" s="184" t="str">
        <f t="shared" si="84"/>
        <v>CÁCERES</v>
      </c>
      <c r="I346" s="184" t="s">
        <v>85</v>
      </c>
      <c r="J346" s="184" t="s">
        <v>1345</v>
      </c>
      <c r="K346" s="184"/>
      <c r="L346" s="184">
        <v>8.0</v>
      </c>
      <c r="M346" s="100">
        <v>1000.0</v>
      </c>
      <c r="N346" s="187">
        <v>0.0</v>
      </c>
      <c r="O346" s="113">
        <v>0.0</v>
      </c>
      <c r="P346" s="113">
        <v>0.0</v>
      </c>
      <c r="Q346" s="188">
        <f t="shared" si="2"/>
        <v>0</v>
      </c>
      <c r="R346" s="189">
        <v>0.0</v>
      </c>
      <c r="S346" s="189">
        <v>0.0</v>
      </c>
      <c r="T346" s="190">
        <f t="shared" si="3"/>
        <v>0</v>
      </c>
      <c r="U346" s="221" t="s">
        <v>387</v>
      </c>
      <c r="V346" s="221" t="s">
        <v>387</v>
      </c>
      <c r="W346" s="192"/>
      <c r="X346" s="193">
        <v>46191.0</v>
      </c>
      <c r="Y346" s="467">
        <v>46453.0</v>
      </c>
      <c r="Z346" s="194">
        <v>0.0</v>
      </c>
      <c r="AA346" s="194">
        <v>0.0</v>
      </c>
      <c r="AB346" s="193">
        <f t="shared" si="83"/>
        <v>46453</v>
      </c>
      <c r="AC346" s="66">
        <f t="shared" si="4"/>
        <v>166</v>
      </c>
      <c r="AD346" s="55"/>
      <c r="AE346" s="55"/>
      <c r="AF346" s="55"/>
      <c r="AG346" s="55"/>
      <c r="AH346" s="86">
        <f t="shared" si="40"/>
        <v>0</v>
      </c>
      <c r="AI346" s="27">
        <f t="shared" si="80"/>
        <v>1000</v>
      </c>
      <c r="AJ346" s="51"/>
      <c r="AK346" s="280"/>
      <c r="AL346" s="280"/>
      <c r="AM346" s="280"/>
      <c r="AN346" s="280"/>
      <c r="AO346" s="280">
        <v>0.0</v>
      </c>
      <c r="AP346" s="178">
        <f t="shared" si="81"/>
        <v>1000</v>
      </c>
      <c r="AQ346" s="280">
        <v>0.0</v>
      </c>
      <c r="AR346" s="113">
        <f t="shared" si="79"/>
        <v>0</v>
      </c>
      <c r="AS346" s="113">
        <v>0.0</v>
      </c>
      <c r="AT346" s="224">
        <f t="shared" si="73"/>
        <v>1</v>
      </c>
      <c r="AU346" s="224" t="str">
        <f t="shared" si="23"/>
        <v>#DIV/0!</v>
      </c>
      <c r="AV346" s="184"/>
      <c r="AW346" s="74"/>
      <c r="AX346" s="214"/>
      <c r="AY346" s="215"/>
      <c r="AZ346" s="210"/>
      <c r="BA346" s="210"/>
      <c r="BB346" s="219"/>
      <c r="BC346" s="77"/>
      <c r="BD346" s="210"/>
      <c r="BE346" s="117"/>
      <c r="BF346" s="199"/>
      <c r="BG346" s="199"/>
      <c r="BH346" s="199"/>
    </row>
    <row r="347" ht="104.25" customHeight="1">
      <c r="A347" s="50">
        <v>346.0</v>
      </c>
      <c r="B347" s="463">
        <v>2026.0</v>
      </c>
      <c r="C347" s="464" t="s">
        <v>1255</v>
      </c>
      <c r="D347" s="465" t="s">
        <v>74</v>
      </c>
      <c r="E347" s="464" t="s">
        <v>1256</v>
      </c>
      <c r="F347" s="53">
        <v>2.026003050006E12</v>
      </c>
      <c r="G347" s="184" t="s">
        <v>1346</v>
      </c>
      <c r="H347" s="184" t="str">
        <f t="shared" si="84"/>
        <v>ARMENIA MANTEQUILLA</v>
      </c>
      <c r="I347" s="184" t="s">
        <v>127</v>
      </c>
      <c r="J347" s="184" t="s">
        <v>1345</v>
      </c>
      <c r="K347" s="184"/>
      <c r="L347" s="184">
        <v>8.0</v>
      </c>
      <c r="M347" s="100">
        <v>1000.0</v>
      </c>
      <c r="N347" s="187">
        <v>0.0</v>
      </c>
      <c r="O347" s="113">
        <v>0.0</v>
      </c>
      <c r="P347" s="113">
        <v>0.0</v>
      </c>
      <c r="Q347" s="188">
        <f t="shared" si="2"/>
        <v>0</v>
      </c>
      <c r="R347" s="189">
        <v>0.0</v>
      </c>
      <c r="S347" s="189">
        <v>0.0</v>
      </c>
      <c r="T347" s="190">
        <f t="shared" si="3"/>
        <v>0</v>
      </c>
      <c r="U347" s="221" t="s">
        <v>387</v>
      </c>
      <c r="V347" s="221" t="s">
        <v>387</v>
      </c>
      <c r="W347" s="192"/>
      <c r="X347" s="193">
        <v>46170.0</v>
      </c>
      <c r="Y347" s="467">
        <v>46454.0</v>
      </c>
      <c r="Z347" s="194">
        <v>0.0</v>
      </c>
      <c r="AA347" s="194">
        <v>0.0</v>
      </c>
      <c r="AB347" s="193">
        <f t="shared" si="83"/>
        <v>46454</v>
      </c>
      <c r="AC347" s="66">
        <f t="shared" si="4"/>
        <v>167</v>
      </c>
      <c r="AD347" s="55"/>
      <c r="AE347" s="55"/>
      <c r="AF347" s="55"/>
      <c r="AG347" s="55"/>
      <c r="AH347" s="86">
        <f t="shared" si="40"/>
        <v>0</v>
      </c>
      <c r="AI347" s="27">
        <f t="shared" si="80"/>
        <v>1000</v>
      </c>
      <c r="AJ347" s="51"/>
      <c r="AK347" s="280"/>
      <c r="AL347" s="280"/>
      <c r="AM347" s="280"/>
      <c r="AN347" s="280"/>
      <c r="AO347" s="280">
        <v>0.0</v>
      </c>
      <c r="AP347" s="178">
        <f t="shared" si="81"/>
        <v>1000</v>
      </c>
      <c r="AQ347" s="280">
        <v>0.0</v>
      </c>
      <c r="AR347" s="113">
        <f t="shared" si="79"/>
        <v>0</v>
      </c>
      <c r="AS347" s="113">
        <v>0.0</v>
      </c>
      <c r="AT347" s="224">
        <f t="shared" si="73"/>
        <v>1</v>
      </c>
      <c r="AU347" s="224" t="str">
        <f t="shared" si="23"/>
        <v>#DIV/0!</v>
      </c>
      <c r="AV347" s="184"/>
      <c r="AW347" s="74"/>
      <c r="AX347" s="214"/>
      <c r="AY347" s="215"/>
      <c r="AZ347" s="210"/>
      <c r="BA347" s="210"/>
      <c r="BB347" s="219"/>
      <c r="BC347" s="77"/>
      <c r="BD347" s="210"/>
      <c r="BE347" s="117"/>
      <c r="BF347" s="199"/>
      <c r="BG347" s="199"/>
      <c r="BH347" s="199"/>
    </row>
    <row r="348" ht="104.25" customHeight="1">
      <c r="A348" s="50">
        <v>347.0</v>
      </c>
      <c r="B348" s="463">
        <v>2026.0</v>
      </c>
      <c r="C348" s="464" t="s">
        <v>1255</v>
      </c>
      <c r="D348" s="465" t="s">
        <v>74</v>
      </c>
      <c r="E348" s="464" t="s">
        <v>1256</v>
      </c>
      <c r="F348" s="53">
        <v>2.026003050011E12</v>
      </c>
      <c r="G348" s="184" t="s">
        <v>895</v>
      </c>
      <c r="H348" s="184" t="str">
        <f t="shared" si="84"/>
        <v>CHIGORODÓ</v>
      </c>
      <c r="I348" s="184" t="s">
        <v>61</v>
      </c>
      <c r="J348" s="184" t="s">
        <v>1347</v>
      </c>
      <c r="K348" s="184"/>
      <c r="L348" s="184">
        <v>8.0</v>
      </c>
      <c r="M348" s="100">
        <v>1000.0</v>
      </c>
      <c r="N348" s="187">
        <v>0.0</v>
      </c>
      <c r="O348" s="113">
        <v>0.0</v>
      </c>
      <c r="P348" s="113">
        <v>0.0</v>
      </c>
      <c r="Q348" s="188">
        <f t="shared" si="2"/>
        <v>0</v>
      </c>
      <c r="R348" s="189">
        <v>0.0</v>
      </c>
      <c r="S348" s="189">
        <v>0.0</v>
      </c>
      <c r="T348" s="190">
        <f t="shared" si="3"/>
        <v>0</v>
      </c>
      <c r="U348" s="221" t="s">
        <v>387</v>
      </c>
      <c r="V348" s="221" t="s">
        <v>387</v>
      </c>
      <c r="W348" s="192"/>
      <c r="X348" s="193">
        <v>46132.0</v>
      </c>
      <c r="Y348" s="193">
        <v>46289.0</v>
      </c>
      <c r="Z348" s="194">
        <v>0.0</v>
      </c>
      <c r="AA348" s="194">
        <v>0.0</v>
      </c>
      <c r="AB348" s="193">
        <f t="shared" si="83"/>
        <v>46289</v>
      </c>
      <c r="AC348" s="66">
        <f t="shared" si="4"/>
        <v>2</v>
      </c>
      <c r="AD348" s="55"/>
      <c r="AE348" s="55"/>
      <c r="AF348" s="55"/>
      <c r="AG348" s="55"/>
      <c r="AH348" s="86">
        <f t="shared" si="40"/>
        <v>0</v>
      </c>
      <c r="AI348" s="27">
        <f t="shared" si="80"/>
        <v>1000</v>
      </c>
      <c r="AJ348" s="51"/>
      <c r="AK348" s="280"/>
      <c r="AL348" s="280"/>
      <c r="AM348" s="280"/>
      <c r="AN348" s="280"/>
      <c r="AO348" s="280">
        <v>0.0</v>
      </c>
      <c r="AP348" s="178">
        <f t="shared" si="81"/>
        <v>1000</v>
      </c>
      <c r="AQ348" s="280">
        <v>0.0</v>
      </c>
      <c r="AR348" s="113">
        <f t="shared" si="79"/>
        <v>0</v>
      </c>
      <c r="AS348" s="113">
        <v>0.0</v>
      </c>
      <c r="AT348" s="224">
        <f t="shared" si="73"/>
        <v>1</v>
      </c>
      <c r="AU348" s="224" t="str">
        <f t="shared" si="23"/>
        <v>#DIV/0!</v>
      </c>
      <c r="AV348" s="184"/>
      <c r="AW348" s="74"/>
      <c r="AX348" s="214"/>
      <c r="AY348" s="215"/>
      <c r="AZ348" s="210"/>
      <c r="BA348" s="210"/>
      <c r="BB348" s="219"/>
      <c r="BC348" s="77"/>
      <c r="BD348" s="210"/>
      <c r="BE348" s="117"/>
      <c r="BF348" s="199"/>
      <c r="BG348" s="199"/>
      <c r="BH348" s="199"/>
    </row>
    <row r="349" ht="104.25" customHeight="1">
      <c r="A349" s="50">
        <v>348.0</v>
      </c>
      <c r="B349" s="463">
        <v>2026.0</v>
      </c>
      <c r="C349" s="464" t="s">
        <v>1255</v>
      </c>
      <c r="D349" s="465" t="s">
        <v>118</v>
      </c>
      <c r="E349" s="464" t="s">
        <v>1256</v>
      </c>
      <c r="F349" s="53">
        <v>2.026003050008E12</v>
      </c>
      <c r="G349" s="184" t="s">
        <v>1180</v>
      </c>
      <c r="H349" s="184" t="str">
        <f t="shared" si="84"/>
        <v>URAMITA</v>
      </c>
      <c r="I349" s="184" t="s">
        <v>762</v>
      </c>
      <c r="J349" s="184" t="s">
        <v>1348</v>
      </c>
      <c r="K349" s="184"/>
      <c r="L349" s="184">
        <v>8.0</v>
      </c>
      <c r="M349" s="468">
        <v>1000.0</v>
      </c>
      <c r="N349" s="187">
        <v>0.0</v>
      </c>
      <c r="O349" s="113">
        <v>0.0</v>
      </c>
      <c r="P349" s="113">
        <v>0.0</v>
      </c>
      <c r="Q349" s="188">
        <f t="shared" si="2"/>
        <v>0</v>
      </c>
      <c r="R349" s="189">
        <v>0.0</v>
      </c>
      <c r="S349" s="189">
        <v>0.0</v>
      </c>
      <c r="T349" s="190">
        <f t="shared" si="3"/>
        <v>0</v>
      </c>
      <c r="U349" s="221" t="s">
        <v>387</v>
      </c>
      <c r="V349" s="221" t="s">
        <v>387</v>
      </c>
      <c r="W349" s="192"/>
      <c r="X349" s="193">
        <v>46175.0</v>
      </c>
      <c r="Y349" s="467">
        <v>46454.0</v>
      </c>
      <c r="Z349" s="194">
        <v>0.0</v>
      </c>
      <c r="AA349" s="194">
        <v>0.0</v>
      </c>
      <c r="AB349" s="193">
        <f t="shared" si="83"/>
        <v>46454</v>
      </c>
      <c r="AC349" s="66">
        <f t="shared" si="4"/>
        <v>167</v>
      </c>
      <c r="AD349" s="55"/>
      <c r="AE349" s="55"/>
      <c r="AF349" s="55"/>
      <c r="AG349" s="55"/>
      <c r="AH349" s="86">
        <f t="shared" si="40"/>
        <v>0</v>
      </c>
      <c r="AI349" s="27">
        <f t="shared" si="80"/>
        <v>1000</v>
      </c>
      <c r="AJ349" s="51"/>
      <c r="AK349" s="280"/>
      <c r="AL349" s="280"/>
      <c r="AM349" s="280"/>
      <c r="AN349" s="280"/>
      <c r="AO349" s="280">
        <v>0.0</v>
      </c>
      <c r="AP349" s="178">
        <f t="shared" si="81"/>
        <v>1000</v>
      </c>
      <c r="AQ349" s="280">
        <v>0.0</v>
      </c>
      <c r="AR349" s="113">
        <f t="shared" si="79"/>
        <v>0</v>
      </c>
      <c r="AS349" s="113">
        <v>0.0</v>
      </c>
      <c r="AT349" s="224">
        <f t="shared" si="73"/>
        <v>1</v>
      </c>
      <c r="AU349" s="224" t="str">
        <f t="shared" si="23"/>
        <v>#DIV/0!</v>
      </c>
      <c r="AV349" s="184"/>
      <c r="AW349" s="74"/>
      <c r="AX349" s="214"/>
      <c r="AY349" s="215"/>
      <c r="AZ349" s="210"/>
      <c r="BA349" s="210"/>
      <c r="BB349" s="219"/>
      <c r="BC349" s="77"/>
      <c r="BD349" s="210"/>
      <c r="BE349" s="117"/>
      <c r="BF349" s="199"/>
      <c r="BG349" s="199"/>
      <c r="BH349" s="199"/>
    </row>
    <row r="350" ht="104.25" customHeight="1">
      <c r="A350" s="50">
        <v>349.0</v>
      </c>
      <c r="B350" s="463">
        <v>2025.0</v>
      </c>
      <c r="C350" s="464" t="s">
        <v>1255</v>
      </c>
      <c r="D350" s="465" t="s">
        <v>74</v>
      </c>
      <c r="E350" s="464" t="s">
        <v>1256</v>
      </c>
      <c r="F350" s="53">
        <v>2.025003050035E12</v>
      </c>
      <c r="G350" s="184" t="s">
        <v>226</v>
      </c>
      <c r="H350" s="184" t="str">
        <f t="shared" si="84"/>
        <v>RIONEGRO</v>
      </c>
      <c r="I350" s="184" t="s">
        <v>120</v>
      </c>
      <c r="J350" s="184" t="s">
        <v>1349</v>
      </c>
      <c r="K350" s="469"/>
      <c r="L350" s="184">
        <v>8.0</v>
      </c>
      <c r="M350" s="468">
        <v>2650.0</v>
      </c>
      <c r="N350" s="187">
        <v>0.0</v>
      </c>
      <c r="O350" s="113">
        <v>0.0</v>
      </c>
      <c r="P350" s="113">
        <v>0.0</v>
      </c>
      <c r="Q350" s="188">
        <f t="shared" si="2"/>
        <v>0</v>
      </c>
      <c r="R350" s="189">
        <v>0.0</v>
      </c>
      <c r="S350" s="189">
        <v>0.0</v>
      </c>
      <c r="T350" s="190">
        <f t="shared" si="3"/>
        <v>0</v>
      </c>
      <c r="U350" s="221" t="s">
        <v>387</v>
      </c>
      <c r="V350" s="221" t="s">
        <v>387</v>
      </c>
      <c r="W350" s="192"/>
      <c r="X350" s="193">
        <v>46175.0</v>
      </c>
      <c r="Y350" s="467">
        <v>46454.0</v>
      </c>
      <c r="Z350" s="194">
        <v>0.0</v>
      </c>
      <c r="AA350" s="194">
        <v>0.0</v>
      </c>
      <c r="AB350" s="193">
        <f t="shared" si="83"/>
        <v>46454</v>
      </c>
      <c r="AC350" s="66">
        <f t="shared" si="4"/>
        <v>167</v>
      </c>
      <c r="AD350" s="55"/>
      <c r="AE350" s="55"/>
      <c r="AF350" s="55"/>
      <c r="AG350" s="55"/>
      <c r="AH350" s="86">
        <f t="shared" si="40"/>
        <v>0</v>
      </c>
      <c r="AI350" s="100">
        <f t="shared" si="80"/>
        <v>2650</v>
      </c>
      <c r="AJ350" s="280"/>
      <c r="AK350" s="280"/>
      <c r="AL350" s="280"/>
      <c r="AM350" s="280"/>
      <c r="AN350" s="280"/>
      <c r="AO350" s="280">
        <v>0.0</v>
      </c>
      <c r="AP350" s="178">
        <f t="shared" si="81"/>
        <v>2650</v>
      </c>
      <c r="AQ350" s="280">
        <v>0.0</v>
      </c>
      <c r="AR350" s="113">
        <f t="shared" si="79"/>
        <v>0</v>
      </c>
      <c r="AS350" s="113">
        <v>0.0</v>
      </c>
      <c r="AT350" s="224">
        <f t="shared" si="73"/>
        <v>1</v>
      </c>
      <c r="AU350" s="224" t="str">
        <f t="shared" si="23"/>
        <v>#DIV/0!</v>
      </c>
      <c r="AV350" s="184"/>
      <c r="AW350" s="74"/>
      <c r="AX350" s="214"/>
      <c r="AY350" s="215"/>
      <c r="AZ350" s="210"/>
      <c r="BA350" s="210"/>
      <c r="BB350" s="219"/>
      <c r="BC350" s="77"/>
      <c r="BD350" s="210"/>
      <c r="BE350" s="117"/>
      <c r="BF350" s="199"/>
      <c r="BG350" s="199"/>
      <c r="BH350" s="199"/>
    </row>
    <row r="351" ht="102.0" customHeight="1">
      <c r="A351" s="21">
        <v>350.0</v>
      </c>
      <c r="B351" s="22">
        <v>2026.0</v>
      </c>
      <c r="C351" s="23" t="s">
        <v>318</v>
      </c>
      <c r="D351" s="80" t="s">
        <v>74</v>
      </c>
      <c r="E351" s="172" t="s">
        <v>75</v>
      </c>
      <c r="F351" s="25" t="s">
        <v>1350</v>
      </c>
      <c r="G351" s="23" t="s">
        <v>241</v>
      </c>
      <c r="H351" s="23" t="str">
        <f t="shared" si="84"/>
        <v>DABEIBA</v>
      </c>
      <c r="I351" s="23" t="s">
        <v>127</v>
      </c>
      <c r="J351" s="23" t="s">
        <v>1351</v>
      </c>
      <c r="K351" s="23"/>
      <c r="L351" s="23">
        <v>4.0</v>
      </c>
      <c r="M351" s="173">
        <v>1000.0</v>
      </c>
      <c r="N351" s="162">
        <v>0.0</v>
      </c>
      <c r="O351" s="82">
        <v>3.5E8</v>
      </c>
      <c r="P351" s="82">
        <v>0.0</v>
      </c>
      <c r="Q351" s="163">
        <f t="shared" si="2"/>
        <v>350000000</v>
      </c>
      <c r="R351" s="135">
        <v>0.0</v>
      </c>
      <c r="S351" s="164">
        <v>0.0</v>
      </c>
      <c r="T351" s="165">
        <f t="shared" si="3"/>
        <v>350000000</v>
      </c>
      <c r="U351" s="83" t="s">
        <v>387</v>
      </c>
      <c r="V351" s="83" t="s">
        <v>387</v>
      </c>
      <c r="W351" s="175"/>
      <c r="X351" s="176">
        <v>46281.0</v>
      </c>
      <c r="Y351" s="176">
        <v>46387.0</v>
      </c>
      <c r="Z351" s="177">
        <v>0.0</v>
      </c>
      <c r="AA351" s="170">
        <v>0.0</v>
      </c>
      <c r="AB351" s="176">
        <v>46387.0</v>
      </c>
      <c r="AC351" s="38">
        <f t="shared" si="4"/>
        <v>100</v>
      </c>
      <c r="AD351" s="27"/>
      <c r="AE351" s="27"/>
      <c r="AF351" s="27"/>
      <c r="AG351" s="87"/>
      <c r="AH351" s="86">
        <f t="shared" si="40"/>
        <v>0</v>
      </c>
      <c r="AI351" s="178">
        <v>0.0</v>
      </c>
      <c r="AJ351" s="88">
        <f t="shared" ref="AJ351:AJ354" si="85">AH351-AI351</f>
        <v>0</v>
      </c>
      <c r="AK351" s="162"/>
      <c r="AL351" s="162"/>
      <c r="AM351" s="162"/>
      <c r="AN351" s="162"/>
      <c r="AO351" s="162">
        <v>0.0</v>
      </c>
      <c r="AP351" s="178">
        <v>0.0</v>
      </c>
      <c r="AQ351" s="162">
        <v>0.0</v>
      </c>
      <c r="AR351" s="82">
        <f t="shared" si="79"/>
        <v>350000000</v>
      </c>
      <c r="AS351" s="82">
        <v>0.0</v>
      </c>
      <c r="AT351" s="171">
        <f t="shared" si="73"/>
        <v>0</v>
      </c>
      <c r="AU351" s="171">
        <f t="shared" si="23"/>
        <v>0</v>
      </c>
      <c r="AV351" s="23"/>
      <c r="AW351" s="91"/>
      <c r="AX351" s="43"/>
      <c r="AY351" s="91"/>
      <c r="AZ351" s="92"/>
      <c r="BA351" s="92"/>
      <c r="BB351" s="92"/>
      <c r="BC351" s="46"/>
      <c r="BD351" s="92"/>
      <c r="BE351" s="47"/>
      <c r="BF351" s="99"/>
      <c r="BG351" s="103"/>
      <c r="BH351" s="99"/>
    </row>
    <row r="352" ht="102.0" customHeight="1">
      <c r="A352" s="21">
        <v>353.0</v>
      </c>
      <c r="B352" s="22">
        <v>2026.0</v>
      </c>
      <c r="C352" s="23" t="s">
        <v>124</v>
      </c>
      <c r="D352" s="80" t="s">
        <v>74</v>
      </c>
      <c r="E352" s="172" t="s">
        <v>75</v>
      </c>
      <c r="F352" s="25" t="s">
        <v>1352</v>
      </c>
      <c r="G352" s="23" t="s">
        <v>540</v>
      </c>
      <c r="H352" s="23" t="str">
        <f t="shared" si="84"/>
        <v>CAICEDO</v>
      </c>
      <c r="I352" s="23" t="s">
        <v>127</v>
      </c>
      <c r="J352" s="23" t="s">
        <v>541</v>
      </c>
      <c r="K352" s="23" t="s">
        <v>1353</v>
      </c>
      <c r="L352" s="23">
        <v>4.0</v>
      </c>
      <c r="M352" s="173">
        <v>1000.0</v>
      </c>
      <c r="N352" s="162">
        <v>0.0</v>
      </c>
      <c r="O352" s="82">
        <v>3.5E8</v>
      </c>
      <c r="P352" s="82">
        <v>0.0</v>
      </c>
      <c r="Q352" s="163">
        <f t="shared" si="2"/>
        <v>350000000</v>
      </c>
      <c r="R352" s="135">
        <v>0.0</v>
      </c>
      <c r="S352" s="164">
        <v>0.0</v>
      </c>
      <c r="T352" s="165">
        <f t="shared" si="3"/>
        <v>350000000</v>
      </c>
      <c r="U352" s="83" t="s">
        <v>387</v>
      </c>
      <c r="V352" s="83" t="s">
        <v>387</v>
      </c>
      <c r="W352" s="175"/>
      <c r="X352" s="176">
        <v>46276.0</v>
      </c>
      <c r="Y352" s="176">
        <v>46387.0</v>
      </c>
      <c r="Z352" s="177">
        <v>0.0</v>
      </c>
      <c r="AA352" s="170">
        <v>0.0</v>
      </c>
      <c r="AB352" s="176">
        <v>46387.0</v>
      </c>
      <c r="AC352" s="38">
        <f t="shared" si="4"/>
        <v>100</v>
      </c>
      <c r="AD352" s="27"/>
      <c r="AE352" s="27"/>
      <c r="AF352" s="27"/>
      <c r="AG352" s="87"/>
      <c r="AH352" s="86">
        <f t="shared" si="40"/>
        <v>0</v>
      </c>
      <c r="AI352" s="178">
        <v>0.0</v>
      </c>
      <c r="AJ352" s="88">
        <f t="shared" si="85"/>
        <v>0</v>
      </c>
      <c r="AK352" s="162"/>
      <c r="AL352" s="162"/>
      <c r="AM352" s="162"/>
      <c r="AN352" s="162"/>
      <c r="AO352" s="162">
        <v>0.0</v>
      </c>
      <c r="AP352" s="178">
        <v>0.0</v>
      </c>
      <c r="AQ352" s="162">
        <v>0.0</v>
      </c>
      <c r="AR352" s="82">
        <f t="shared" si="79"/>
        <v>350000000</v>
      </c>
      <c r="AS352" s="82">
        <v>0.0</v>
      </c>
      <c r="AT352" s="171">
        <f t="shared" si="73"/>
        <v>0</v>
      </c>
      <c r="AU352" s="171">
        <f t="shared" si="23"/>
        <v>0</v>
      </c>
      <c r="AV352" s="23"/>
      <c r="AW352" s="91"/>
      <c r="AX352" s="43"/>
      <c r="AY352" s="91"/>
      <c r="AZ352" s="92"/>
      <c r="BA352" s="92"/>
      <c r="BB352" s="92"/>
      <c r="BC352" s="46"/>
      <c r="BD352" s="92"/>
      <c r="BE352" s="47"/>
      <c r="BF352" s="99"/>
      <c r="BG352" s="103"/>
      <c r="BH352" s="99"/>
    </row>
    <row r="353" ht="102.0" customHeight="1">
      <c r="A353" s="21">
        <v>351.0</v>
      </c>
      <c r="B353" s="22">
        <v>2026.0</v>
      </c>
      <c r="C353" s="23" t="s">
        <v>234</v>
      </c>
      <c r="D353" s="80" t="s">
        <v>74</v>
      </c>
      <c r="E353" s="172" t="s">
        <v>75</v>
      </c>
      <c r="F353" s="25" t="s">
        <v>1354</v>
      </c>
      <c r="G353" s="23" t="s">
        <v>236</v>
      </c>
      <c r="H353" s="23" t="str">
        <f t="shared" si="84"/>
        <v>CAÑASGORDAS</v>
      </c>
      <c r="I353" s="23" t="s">
        <v>127</v>
      </c>
      <c r="J353" s="23" t="s">
        <v>536</v>
      </c>
      <c r="K353" s="23" t="s">
        <v>1355</v>
      </c>
      <c r="L353" s="23">
        <v>4.0</v>
      </c>
      <c r="M353" s="173">
        <v>500.0</v>
      </c>
      <c r="N353" s="162">
        <v>0.0</v>
      </c>
      <c r="O353" s="82">
        <v>1.75E8</v>
      </c>
      <c r="P353" s="82">
        <v>0.0</v>
      </c>
      <c r="Q353" s="163">
        <f t="shared" si="2"/>
        <v>175000000</v>
      </c>
      <c r="R353" s="135">
        <v>0.0</v>
      </c>
      <c r="S353" s="164">
        <v>0.0</v>
      </c>
      <c r="T353" s="165">
        <f t="shared" si="3"/>
        <v>175000000</v>
      </c>
      <c r="U353" s="83" t="s">
        <v>387</v>
      </c>
      <c r="V353" s="83" t="s">
        <v>387</v>
      </c>
      <c r="W353" s="175"/>
      <c r="X353" s="176">
        <v>46280.0</v>
      </c>
      <c r="Y353" s="176">
        <v>46387.0</v>
      </c>
      <c r="Z353" s="177">
        <v>0.0</v>
      </c>
      <c r="AA353" s="170">
        <v>0.0</v>
      </c>
      <c r="AB353" s="176">
        <v>46387.0</v>
      </c>
      <c r="AC353" s="38">
        <f t="shared" si="4"/>
        <v>100</v>
      </c>
      <c r="AD353" s="27"/>
      <c r="AE353" s="27"/>
      <c r="AF353" s="27"/>
      <c r="AG353" s="87"/>
      <c r="AH353" s="86">
        <f t="shared" si="40"/>
        <v>0</v>
      </c>
      <c r="AI353" s="178">
        <v>0.0</v>
      </c>
      <c r="AJ353" s="88">
        <f t="shared" si="85"/>
        <v>0</v>
      </c>
      <c r="AK353" s="162"/>
      <c r="AL353" s="162"/>
      <c r="AM353" s="162"/>
      <c r="AN353" s="162"/>
      <c r="AO353" s="162">
        <v>0.0</v>
      </c>
      <c r="AP353" s="178">
        <v>0.0</v>
      </c>
      <c r="AQ353" s="162">
        <v>0.0</v>
      </c>
      <c r="AR353" s="82">
        <f t="shared" si="79"/>
        <v>175000000</v>
      </c>
      <c r="AS353" s="82">
        <v>0.0</v>
      </c>
      <c r="AT353" s="171">
        <f t="shared" si="73"/>
        <v>0</v>
      </c>
      <c r="AU353" s="171">
        <f t="shared" si="23"/>
        <v>0</v>
      </c>
      <c r="AV353" s="23"/>
      <c r="AW353" s="91"/>
      <c r="AX353" s="43"/>
      <c r="AY353" s="91"/>
      <c r="AZ353" s="92"/>
      <c r="BA353" s="92"/>
      <c r="BB353" s="92"/>
      <c r="BC353" s="46"/>
      <c r="BD353" s="92"/>
      <c r="BE353" s="47"/>
      <c r="BF353" s="99"/>
      <c r="BG353" s="103"/>
      <c r="BH353" s="99"/>
    </row>
    <row r="354" ht="102.0" customHeight="1">
      <c r="A354" s="21">
        <v>352.0</v>
      </c>
      <c r="B354" s="22">
        <v>2026.0</v>
      </c>
      <c r="C354" s="23" t="s">
        <v>318</v>
      </c>
      <c r="D354" s="80" t="s">
        <v>74</v>
      </c>
      <c r="E354" s="172" t="s">
        <v>75</v>
      </c>
      <c r="F354" s="25" t="s">
        <v>1356</v>
      </c>
      <c r="G354" s="23" t="s">
        <v>335</v>
      </c>
      <c r="H354" s="23" t="str">
        <f t="shared" si="84"/>
        <v>SAN ROQUE</v>
      </c>
      <c r="I354" s="23" t="s">
        <v>104</v>
      </c>
      <c r="J354" s="23" t="s">
        <v>1357</v>
      </c>
      <c r="K354" s="23"/>
      <c r="L354" s="23">
        <v>4.0</v>
      </c>
      <c r="M354" s="173">
        <v>1000.0</v>
      </c>
      <c r="N354" s="162">
        <v>0.0</v>
      </c>
      <c r="O354" s="82">
        <v>3.5E8</v>
      </c>
      <c r="P354" s="82">
        <v>0.0</v>
      </c>
      <c r="Q354" s="163">
        <f t="shared" si="2"/>
        <v>350000000</v>
      </c>
      <c r="R354" s="135">
        <v>0.0</v>
      </c>
      <c r="S354" s="164">
        <v>0.0</v>
      </c>
      <c r="T354" s="165">
        <f t="shared" si="3"/>
        <v>350000000</v>
      </c>
      <c r="U354" s="83" t="s">
        <v>387</v>
      </c>
      <c r="V354" s="83" t="s">
        <v>387</v>
      </c>
      <c r="W354" s="175"/>
      <c r="X354" s="176">
        <v>46281.0</v>
      </c>
      <c r="Y354" s="176">
        <v>46387.0</v>
      </c>
      <c r="Z354" s="177">
        <v>0.0</v>
      </c>
      <c r="AA354" s="170">
        <v>0.0</v>
      </c>
      <c r="AB354" s="176">
        <v>46387.0</v>
      </c>
      <c r="AC354" s="38">
        <f t="shared" si="4"/>
        <v>100</v>
      </c>
      <c r="AD354" s="27"/>
      <c r="AE354" s="27"/>
      <c r="AF354" s="27"/>
      <c r="AG354" s="87"/>
      <c r="AH354" s="86">
        <f t="shared" si="40"/>
        <v>0</v>
      </c>
      <c r="AI354" s="178">
        <v>0.0</v>
      </c>
      <c r="AJ354" s="88">
        <f t="shared" si="85"/>
        <v>0</v>
      </c>
      <c r="AK354" s="162"/>
      <c r="AL354" s="162"/>
      <c r="AM354" s="162"/>
      <c r="AN354" s="162"/>
      <c r="AO354" s="162">
        <v>0.0</v>
      </c>
      <c r="AP354" s="178">
        <v>0.0</v>
      </c>
      <c r="AQ354" s="162">
        <v>0.0</v>
      </c>
      <c r="AR354" s="82">
        <f t="shared" si="79"/>
        <v>350000000</v>
      </c>
      <c r="AS354" s="82">
        <v>0.0</v>
      </c>
      <c r="AT354" s="171">
        <f t="shared" si="73"/>
        <v>0</v>
      </c>
      <c r="AU354" s="171">
        <f t="shared" si="23"/>
        <v>0</v>
      </c>
      <c r="AV354" s="23"/>
      <c r="AW354" s="91"/>
      <c r="AX354" s="43"/>
      <c r="AY354" s="91"/>
      <c r="AZ354" s="92"/>
      <c r="BA354" s="92"/>
      <c r="BB354" s="92"/>
      <c r="BC354" s="46"/>
      <c r="BD354" s="92"/>
      <c r="BE354" s="47"/>
      <c r="BF354" s="99"/>
      <c r="BG354" s="103"/>
      <c r="BH354" s="99"/>
    </row>
    <row r="355" ht="102.0" customHeight="1">
      <c r="A355" s="21">
        <v>354.0</v>
      </c>
      <c r="B355" s="22">
        <v>2025.0</v>
      </c>
      <c r="C355" s="23" t="s">
        <v>205</v>
      </c>
      <c r="D355" s="24" t="s">
        <v>1279</v>
      </c>
      <c r="E355" s="23" t="s">
        <v>1358</v>
      </c>
      <c r="F355" s="25">
        <v>4.600018774E9</v>
      </c>
      <c r="G355" s="23" t="s">
        <v>884</v>
      </c>
      <c r="H355" s="23" t="str">
        <f t="shared" si="84"/>
        <v>LA CEJA</v>
      </c>
      <c r="I355" s="23" t="s">
        <v>120</v>
      </c>
      <c r="J355" s="23" t="s">
        <v>1359</v>
      </c>
      <c r="K355" s="23" t="s">
        <v>1360</v>
      </c>
      <c r="L355" s="23">
        <v>4.0</v>
      </c>
      <c r="M355" s="173">
        <v>4000.0</v>
      </c>
      <c r="N355" s="162">
        <v>0.0</v>
      </c>
      <c r="O355" s="82">
        <v>6.0E8</v>
      </c>
      <c r="P355" s="82">
        <v>2.50960131E8</v>
      </c>
      <c r="Q355" s="163">
        <f t="shared" si="2"/>
        <v>850960131</v>
      </c>
      <c r="R355" s="135">
        <v>0.0</v>
      </c>
      <c r="S355" s="164">
        <v>0.0</v>
      </c>
      <c r="T355" s="165">
        <f t="shared" si="3"/>
        <v>850960131</v>
      </c>
      <c r="U355" s="83" t="s">
        <v>64</v>
      </c>
      <c r="V355" s="83" t="s">
        <v>64</v>
      </c>
      <c r="W355" s="175"/>
      <c r="X355" s="176">
        <v>46008.0</v>
      </c>
      <c r="Y355" s="176">
        <v>46054.0</v>
      </c>
      <c r="Z355" s="177">
        <v>0.0</v>
      </c>
      <c r="AA355" s="170">
        <v>0.0</v>
      </c>
      <c r="AB355" s="176">
        <v>46099.0</v>
      </c>
      <c r="AC355" s="38">
        <f t="shared" si="4"/>
        <v>-188</v>
      </c>
      <c r="AD355" s="27"/>
      <c r="AE355" s="27"/>
      <c r="AF355" s="27"/>
      <c r="AG355" s="27"/>
      <c r="AH355" s="86">
        <f t="shared" si="40"/>
        <v>0</v>
      </c>
      <c r="AI355" s="173">
        <v>4000.0</v>
      </c>
      <c r="AJ355" s="162"/>
      <c r="AK355" s="162"/>
      <c r="AL355" s="162"/>
      <c r="AM355" s="162"/>
      <c r="AN355" s="162"/>
      <c r="AO355" s="162">
        <v>0.0</v>
      </c>
      <c r="AP355" s="178">
        <v>4000.0</v>
      </c>
      <c r="AQ355" s="162">
        <v>0.0</v>
      </c>
      <c r="AR355" s="82">
        <f t="shared" si="79"/>
        <v>600000000</v>
      </c>
      <c r="AS355" s="82">
        <v>6.0E8</v>
      </c>
      <c r="AT355" s="228">
        <f t="shared" si="73"/>
        <v>1</v>
      </c>
      <c r="AU355" s="228">
        <f t="shared" si="23"/>
        <v>1</v>
      </c>
      <c r="AV355" s="23" t="s">
        <v>1361</v>
      </c>
      <c r="AW355" s="91"/>
      <c r="AX355" s="43"/>
      <c r="AY355" s="91"/>
      <c r="AZ355" s="92"/>
      <c r="BA355" s="92"/>
      <c r="BB355" s="92"/>
      <c r="BC355" s="46"/>
      <c r="BD355" s="92"/>
      <c r="BE355" s="47"/>
      <c r="BF355" s="99"/>
      <c r="BG355" s="103"/>
      <c r="BH355" s="99"/>
    </row>
    <row r="356" ht="102.0" customHeight="1">
      <c r="A356" s="21">
        <v>355.0</v>
      </c>
      <c r="B356" s="22">
        <v>2023.0</v>
      </c>
      <c r="C356" s="23" t="s">
        <v>389</v>
      </c>
      <c r="D356" s="80" t="s">
        <v>74</v>
      </c>
      <c r="E356" s="172" t="s">
        <v>75</v>
      </c>
      <c r="F356" s="25" t="s">
        <v>1362</v>
      </c>
      <c r="G356" s="23" t="s">
        <v>847</v>
      </c>
      <c r="H356" s="23" t="str">
        <f t="shared" si="84"/>
        <v>BELMIRA</v>
      </c>
      <c r="I356" s="23" t="s">
        <v>174</v>
      </c>
      <c r="J356" s="23" t="s">
        <v>1363</v>
      </c>
      <c r="K356" s="23" t="s">
        <v>1364</v>
      </c>
      <c r="L356" s="23">
        <v>9.0</v>
      </c>
      <c r="M356" s="173">
        <v>1300.0</v>
      </c>
      <c r="N356" s="162">
        <v>0.0</v>
      </c>
      <c r="O356" s="82">
        <v>3.89614113E8</v>
      </c>
      <c r="P356" s="82">
        <v>0.0</v>
      </c>
      <c r="Q356" s="163">
        <f t="shared" si="2"/>
        <v>389614113</v>
      </c>
      <c r="R356" s="135">
        <v>0.0</v>
      </c>
      <c r="S356" s="164">
        <v>0.0</v>
      </c>
      <c r="T356" s="165">
        <f t="shared" si="3"/>
        <v>389614113</v>
      </c>
      <c r="U356" s="83" t="s">
        <v>220</v>
      </c>
      <c r="V356" s="83" t="s">
        <v>220</v>
      </c>
      <c r="W356" s="175"/>
      <c r="X356" s="176">
        <v>44981.0</v>
      </c>
      <c r="Y356" s="176">
        <v>45254.0</v>
      </c>
      <c r="Z356" s="177">
        <v>0.0</v>
      </c>
      <c r="AA356" s="170">
        <v>0.0</v>
      </c>
      <c r="AB356" s="176">
        <v>45254.0</v>
      </c>
      <c r="AC356" s="38">
        <f t="shared" si="4"/>
        <v>-1033</v>
      </c>
      <c r="AD356" s="27">
        <v>260.0</v>
      </c>
      <c r="AE356" s="81"/>
      <c r="AF356" s="81"/>
      <c r="AG356" s="81"/>
      <c r="AH356" s="95">
        <f t="shared" si="40"/>
        <v>260</v>
      </c>
      <c r="AI356" s="197">
        <v>260.0</v>
      </c>
      <c r="AJ356" s="88">
        <f t="shared" ref="AJ356:AJ367" si="86">AH356-AI356</f>
        <v>0</v>
      </c>
      <c r="AK356" s="259"/>
      <c r="AL356" s="259"/>
      <c r="AM356" s="259"/>
      <c r="AN356" s="259"/>
      <c r="AO356" s="259">
        <v>0.0</v>
      </c>
      <c r="AP356" s="153">
        <v>1300.0</v>
      </c>
      <c r="AQ356" s="259">
        <v>0.0</v>
      </c>
      <c r="AR356" s="144">
        <f t="shared" si="79"/>
        <v>389614113</v>
      </c>
      <c r="AS356" s="144">
        <f t="shared" ref="AS356:AS360" si="87">AR356</f>
        <v>389614113</v>
      </c>
      <c r="AT356" s="238">
        <f t="shared" si="73"/>
        <v>1</v>
      </c>
      <c r="AU356" s="238">
        <f t="shared" si="23"/>
        <v>1</v>
      </c>
      <c r="AV356" s="23" t="s">
        <v>1365</v>
      </c>
      <c r="AW356" s="91"/>
      <c r="AX356" s="43"/>
      <c r="AY356" s="91"/>
      <c r="AZ356" s="92"/>
      <c r="BA356" s="92"/>
      <c r="BB356" s="92"/>
      <c r="BC356" s="46"/>
      <c r="BD356" s="92"/>
      <c r="BE356" s="47"/>
      <c r="BF356" s="99"/>
      <c r="BG356" s="103"/>
      <c r="BH356" s="99"/>
    </row>
    <row r="357" ht="102.0" customHeight="1">
      <c r="A357" s="21">
        <v>356.0</v>
      </c>
      <c r="B357" s="22">
        <v>2023.0</v>
      </c>
      <c r="C357" s="23" t="s">
        <v>124</v>
      </c>
      <c r="D357" s="80" t="s">
        <v>74</v>
      </c>
      <c r="E357" s="172" t="s">
        <v>75</v>
      </c>
      <c r="F357" s="25" t="s">
        <v>1366</v>
      </c>
      <c r="G357" s="23" t="s">
        <v>131</v>
      </c>
      <c r="H357" s="23" t="str">
        <f t="shared" si="84"/>
        <v>HELICONIA</v>
      </c>
      <c r="I357" s="23" t="s">
        <v>127</v>
      </c>
      <c r="J357" s="23" t="s">
        <v>1367</v>
      </c>
      <c r="K357" s="23" t="s">
        <v>1368</v>
      </c>
      <c r="L357" s="23">
        <v>4.0</v>
      </c>
      <c r="M357" s="173">
        <v>500.0</v>
      </c>
      <c r="N357" s="162">
        <v>0.0</v>
      </c>
      <c r="O357" s="82">
        <v>1.5435265E8</v>
      </c>
      <c r="P357" s="82">
        <v>0.0</v>
      </c>
      <c r="Q357" s="163">
        <f t="shared" si="2"/>
        <v>154352650</v>
      </c>
      <c r="R357" s="135">
        <v>0.0</v>
      </c>
      <c r="S357" s="164">
        <v>0.0</v>
      </c>
      <c r="T357" s="165">
        <f t="shared" si="3"/>
        <v>154352650</v>
      </c>
      <c r="U357" s="83" t="s">
        <v>220</v>
      </c>
      <c r="V357" s="83" t="s">
        <v>220</v>
      </c>
      <c r="W357" s="175"/>
      <c r="X357" s="176">
        <v>45117.0</v>
      </c>
      <c r="Y357" s="176">
        <v>45255.0</v>
      </c>
      <c r="Z357" s="177">
        <v>0.0</v>
      </c>
      <c r="AA357" s="170">
        <v>0.0</v>
      </c>
      <c r="AB357" s="176">
        <v>45255.0</v>
      </c>
      <c r="AC357" s="38">
        <f t="shared" si="4"/>
        <v>-1032</v>
      </c>
      <c r="AD357" s="27">
        <v>200.0</v>
      </c>
      <c r="AE357" s="81"/>
      <c r="AF357" s="81"/>
      <c r="AG357" s="81"/>
      <c r="AH357" s="95">
        <f t="shared" si="40"/>
        <v>200</v>
      </c>
      <c r="AI357" s="197">
        <v>200.0</v>
      </c>
      <c r="AJ357" s="88">
        <f t="shared" si="86"/>
        <v>0</v>
      </c>
      <c r="AK357" s="259"/>
      <c r="AL357" s="259"/>
      <c r="AM357" s="259"/>
      <c r="AN357" s="259"/>
      <c r="AO357" s="259">
        <v>0.0</v>
      </c>
      <c r="AP357" s="153">
        <v>500.0</v>
      </c>
      <c r="AQ357" s="259">
        <v>0.0</v>
      </c>
      <c r="AR357" s="144">
        <f t="shared" si="79"/>
        <v>154352650</v>
      </c>
      <c r="AS357" s="144">
        <f t="shared" si="87"/>
        <v>154352650</v>
      </c>
      <c r="AT357" s="238">
        <f t="shared" si="73"/>
        <v>1</v>
      </c>
      <c r="AU357" s="238">
        <f t="shared" si="23"/>
        <v>1</v>
      </c>
      <c r="AV357" s="23" t="s">
        <v>1369</v>
      </c>
      <c r="AW357" s="91"/>
      <c r="AX357" s="43"/>
      <c r="AY357" s="91"/>
      <c r="AZ357" s="92"/>
      <c r="BA357" s="92"/>
      <c r="BB357" s="92"/>
      <c r="BC357" s="46"/>
      <c r="BD357" s="92"/>
      <c r="BE357" s="47"/>
      <c r="BF357" s="99"/>
      <c r="BG357" s="103"/>
      <c r="BH357" s="99"/>
    </row>
    <row r="358" ht="102.0" customHeight="1">
      <c r="A358" s="21">
        <v>357.0</v>
      </c>
      <c r="B358" s="22">
        <v>2023.0</v>
      </c>
      <c r="C358" s="23" t="s">
        <v>328</v>
      </c>
      <c r="D358" s="80" t="s">
        <v>74</v>
      </c>
      <c r="E358" s="172" t="s">
        <v>75</v>
      </c>
      <c r="F358" s="25" t="s">
        <v>1370</v>
      </c>
      <c r="G358" s="23" t="s">
        <v>92</v>
      </c>
      <c r="H358" s="23" t="str">
        <f t="shared" si="84"/>
        <v>MACEO</v>
      </c>
      <c r="I358" s="23" t="s">
        <v>93</v>
      </c>
      <c r="J358" s="23" t="s">
        <v>1371</v>
      </c>
      <c r="K358" s="23" t="s">
        <v>1372</v>
      </c>
      <c r="L358" s="23">
        <v>6.0</v>
      </c>
      <c r="M358" s="173">
        <v>2000.0</v>
      </c>
      <c r="N358" s="162">
        <v>0.0</v>
      </c>
      <c r="O358" s="82">
        <v>5.98814049E8</v>
      </c>
      <c r="P358" s="82">
        <v>0.0</v>
      </c>
      <c r="Q358" s="163">
        <f t="shared" si="2"/>
        <v>598814049</v>
      </c>
      <c r="R358" s="135">
        <v>0.0</v>
      </c>
      <c r="S358" s="164">
        <v>0.0</v>
      </c>
      <c r="T358" s="165">
        <f t="shared" si="3"/>
        <v>598814049</v>
      </c>
      <c r="U358" s="83" t="s">
        <v>220</v>
      </c>
      <c r="V358" s="83" t="s">
        <v>220</v>
      </c>
      <c r="W358" s="175"/>
      <c r="X358" s="176">
        <v>45016.0</v>
      </c>
      <c r="Y358" s="176">
        <v>45199.0</v>
      </c>
      <c r="Z358" s="177">
        <v>0.0</v>
      </c>
      <c r="AA358" s="170">
        <v>0.0</v>
      </c>
      <c r="AB358" s="176">
        <v>45199.0</v>
      </c>
      <c r="AC358" s="38">
        <f t="shared" si="4"/>
        <v>-1088</v>
      </c>
      <c r="AD358" s="27"/>
      <c r="AE358" s="81">
        <v>300.0</v>
      </c>
      <c r="AF358" s="81"/>
      <c r="AG358" s="81"/>
      <c r="AH358" s="95">
        <f t="shared" si="40"/>
        <v>300</v>
      </c>
      <c r="AI358" s="197">
        <v>300.0</v>
      </c>
      <c r="AJ358" s="88">
        <f t="shared" si="86"/>
        <v>0</v>
      </c>
      <c r="AK358" s="259"/>
      <c r="AL358" s="259"/>
      <c r="AM358" s="259"/>
      <c r="AN358" s="259"/>
      <c r="AO358" s="259">
        <v>0.0</v>
      </c>
      <c r="AP358" s="153">
        <v>2000.0</v>
      </c>
      <c r="AQ358" s="259">
        <v>0.0</v>
      </c>
      <c r="AR358" s="144">
        <f t="shared" si="79"/>
        <v>598814049</v>
      </c>
      <c r="AS358" s="144">
        <f t="shared" si="87"/>
        <v>598814049</v>
      </c>
      <c r="AT358" s="238">
        <f t="shared" si="73"/>
        <v>1</v>
      </c>
      <c r="AU358" s="238">
        <f t="shared" si="23"/>
        <v>1</v>
      </c>
      <c r="AV358" s="23" t="s">
        <v>1373</v>
      </c>
      <c r="AW358" s="91"/>
      <c r="AX358" s="43"/>
      <c r="AY358" s="91"/>
      <c r="AZ358" s="92"/>
      <c r="BA358" s="92"/>
      <c r="BB358" s="92"/>
      <c r="BC358" s="46"/>
      <c r="BD358" s="92"/>
      <c r="BE358" s="47"/>
      <c r="BF358" s="99"/>
      <c r="BG358" s="103"/>
      <c r="BH358" s="99"/>
    </row>
    <row r="359" ht="102.0" customHeight="1">
      <c r="A359" s="21">
        <v>358.0</v>
      </c>
      <c r="B359" s="22">
        <v>2023.0</v>
      </c>
      <c r="C359" s="23" t="s">
        <v>358</v>
      </c>
      <c r="D359" s="80" t="s">
        <v>74</v>
      </c>
      <c r="E359" s="172" t="s">
        <v>75</v>
      </c>
      <c r="F359" s="25" t="s">
        <v>1374</v>
      </c>
      <c r="G359" s="23" t="s">
        <v>1375</v>
      </c>
      <c r="H359" s="23" t="str">
        <f t="shared" si="84"/>
        <v>MURINDO</v>
      </c>
      <c r="I359" s="23" t="s">
        <v>61</v>
      </c>
      <c r="J359" s="23" t="s">
        <v>1376</v>
      </c>
      <c r="K359" s="23" t="s">
        <v>1377</v>
      </c>
      <c r="L359" s="23">
        <v>4.0</v>
      </c>
      <c r="M359" s="173">
        <v>1602.0</v>
      </c>
      <c r="N359" s="162">
        <v>0.0</v>
      </c>
      <c r="O359" s="82">
        <v>2.096919E8</v>
      </c>
      <c r="P359" s="82">
        <v>0.0</v>
      </c>
      <c r="Q359" s="163">
        <f t="shared" si="2"/>
        <v>209691900</v>
      </c>
      <c r="R359" s="135">
        <v>0.0</v>
      </c>
      <c r="S359" s="164">
        <v>0.0</v>
      </c>
      <c r="T359" s="165">
        <f t="shared" si="3"/>
        <v>209691900</v>
      </c>
      <c r="U359" s="83" t="s">
        <v>220</v>
      </c>
      <c r="V359" s="83" t="s">
        <v>220</v>
      </c>
      <c r="W359" s="175"/>
      <c r="X359" s="176">
        <v>45009.0</v>
      </c>
      <c r="Y359" s="176">
        <v>45131.0</v>
      </c>
      <c r="Z359" s="177">
        <v>0.0</v>
      </c>
      <c r="AA359" s="170">
        <v>0.0</v>
      </c>
      <c r="AB359" s="176">
        <v>45260.0</v>
      </c>
      <c r="AC359" s="38">
        <f t="shared" si="4"/>
        <v>-1027</v>
      </c>
      <c r="AD359" s="27"/>
      <c r="AE359" s="81"/>
      <c r="AF359" s="81">
        <v>320.0</v>
      </c>
      <c r="AG359" s="81"/>
      <c r="AH359" s="95">
        <f t="shared" si="40"/>
        <v>320</v>
      </c>
      <c r="AI359" s="197">
        <f t="shared" ref="AI359:AI360" si="88">AD359+AE359+AF359+AG359</f>
        <v>320</v>
      </c>
      <c r="AJ359" s="88">
        <f t="shared" si="86"/>
        <v>0</v>
      </c>
      <c r="AK359" s="259"/>
      <c r="AL359" s="259"/>
      <c r="AM359" s="259"/>
      <c r="AN359" s="259"/>
      <c r="AO359" s="259">
        <v>0.0</v>
      </c>
      <c r="AP359" s="153">
        <v>1602.0</v>
      </c>
      <c r="AQ359" s="259">
        <v>0.0</v>
      </c>
      <c r="AR359" s="144">
        <f t="shared" si="79"/>
        <v>209691900</v>
      </c>
      <c r="AS359" s="144">
        <f t="shared" si="87"/>
        <v>209691900</v>
      </c>
      <c r="AT359" s="238">
        <f t="shared" si="73"/>
        <v>1</v>
      </c>
      <c r="AU359" s="238">
        <f t="shared" si="23"/>
        <v>1</v>
      </c>
      <c r="AV359" s="23" t="s">
        <v>220</v>
      </c>
      <c r="AW359" s="91"/>
      <c r="AX359" s="43"/>
      <c r="AY359" s="91"/>
      <c r="AZ359" s="92"/>
      <c r="BA359" s="92"/>
      <c r="BB359" s="92"/>
      <c r="BC359" s="46"/>
      <c r="BD359" s="92"/>
      <c r="BE359" s="47"/>
      <c r="BF359" s="99"/>
      <c r="BG359" s="103"/>
      <c r="BH359" s="99"/>
    </row>
    <row r="360" ht="102.0" customHeight="1">
      <c r="A360" s="21">
        <v>359.0</v>
      </c>
      <c r="B360" s="22">
        <v>2023.0</v>
      </c>
      <c r="C360" s="23" t="s">
        <v>328</v>
      </c>
      <c r="D360" s="80" t="s">
        <v>74</v>
      </c>
      <c r="E360" s="172" t="s">
        <v>75</v>
      </c>
      <c r="F360" s="25" t="s">
        <v>1378</v>
      </c>
      <c r="G360" s="23" t="s">
        <v>335</v>
      </c>
      <c r="H360" s="23" t="str">
        <f t="shared" si="84"/>
        <v>SAN ROQUE</v>
      </c>
      <c r="I360" s="23" t="s">
        <v>104</v>
      </c>
      <c r="J360" s="23" t="s">
        <v>1379</v>
      </c>
      <c r="K360" s="23" t="s">
        <v>1380</v>
      </c>
      <c r="L360" s="23">
        <v>4.0</v>
      </c>
      <c r="M360" s="173">
        <v>500.0</v>
      </c>
      <c r="N360" s="162">
        <v>0.0</v>
      </c>
      <c r="O360" s="82">
        <v>1.61259046E8</v>
      </c>
      <c r="P360" s="82">
        <v>0.0</v>
      </c>
      <c r="Q360" s="163">
        <f t="shared" si="2"/>
        <v>161259046</v>
      </c>
      <c r="R360" s="135">
        <v>0.0</v>
      </c>
      <c r="S360" s="164">
        <v>0.0</v>
      </c>
      <c r="T360" s="165">
        <f t="shared" si="3"/>
        <v>161259046</v>
      </c>
      <c r="U360" s="83" t="s">
        <v>220</v>
      </c>
      <c r="V360" s="83" t="s">
        <v>220</v>
      </c>
      <c r="W360" s="175"/>
      <c r="X360" s="176">
        <v>45114.0</v>
      </c>
      <c r="Y360" s="176">
        <v>45237.0</v>
      </c>
      <c r="Z360" s="177">
        <v>0.0</v>
      </c>
      <c r="AA360" s="170">
        <v>0.0</v>
      </c>
      <c r="AB360" s="176">
        <v>45237.0</v>
      </c>
      <c r="AC360" s="38">
        <f t="shared" si="4"/>
        <v>-1050</v>
      </c>
      <c r="AD360" s="27"/>
      <c r="AE360" s="27"/>
      <c r="AF360" s="27">
        <v>100.0</v>
      </c>
      <c r="AG360" s="27"/>
      <c r="AH360" s="95">
        <f t="shared" si="40"/>
        <v>100</v>
      </c>
      <c r="AI360" s="178">
        <f t="shared" si="88"/>
        <v>100</v>
      </c>
      <c r="AJ360" s="88">
        <f t="shared" si="86"/>
        <v>0</v>
      </c>
      <c r="AK360" s="162"/>
      <c r="AL360" s="162"/>
      <c r="AM360" s="162"/>
      <c r="AN360" s="162"/>
      <c r="AO360" s="162">
        <v>0.0</v>
      </c>
      <c r="AP360" s="87">
        <v>500.0</v>
      </c>
      <c r="AQ360" s="162">
        <v>0.0</v>
      </c>
      <c r="AR360" s="82">
        <f t="shared" si="79"/>
        <v>161259046</v>
      </c>
      <c r="AS360" s="144">
        <f t="shared" si="87"/>
        <v>161259046</v>
      </c>
      <c r="AT360" s="171">
        <f t="shared" si="73"/>
        <v>1</v>
      </c>
      <c r="AU360" s="171">
        <f t="shared" si="23"/>
        <v>1</v>
      </c>
      <c r="AV360" s="23" t="s">
        <v>1381</v>
      </c>
      <c r="AW360" s="91"/>
      <c r="AX360" s="43"/>
      <c r="AY360" s="91"/>
      <c r="AZ360" s="92"/>
      <c r="BA360" s="92"/>
      <c r="BB360" s="92"/>
      <c r="BC360" s="46"/>
      <c r="BD360" s="92"/>
      <c r="BE360" s="47"/>
      <c r="BF360" s="99"/>
      <c r="BG360" s="103"/>
      <c r="BH360" s="99"/>
    </row>
    <row r="361" ht="15.75" customHeight="1">
      <c r="C361" s="470"/>
      <c r="E361" s="471"/>
      <c r="O361" s="472"/>
      <c r="Z361" s="473"/>
      <c r="AC361" s="474"/>
      <c r="AH361" s="475"/>
      <c r="AI361" s="476"/>
      <c r="AJ361" s="70">
        <f t="shared" si="86"/>
        <v>0</v>
      </c>
      <c r="AP361" s="476"/>
      <c r="AT361" s="477"/>
      <c r="AU361" s="477"/>
      <c r="AV361" s="470"/>
      <c r="AX361" s="478"/>
    </row>
    <row r="362" ht="15.75" customHeight="1">
      <c r="C362" s="470"/>
      <c r="E362" s="471"/>
      <c r="O362" s="472"/>
      <c r="Z362" s="473"/>
      <c r="AC362" s="474"/>
      <c r="AH362" s="475"/>
      <c r="AI362" s="476"/>
      <c r="AJ362" s="70">
        <f t="shared" si="86"/>
        <v>0</v>
      </c>
      <c r="AP362" s="476"/>
      <c r="AT362" s="477"/>
      <c r="AU362" s="477"/>
      <c r="AV362" s="470"/>
      <c r="AX362" s="478"/>
    </row>
    <row r="363" ht="15.75" customHeight="1">
      <c r="C363" s="470"/>
      <c r="E363" s="471"/>
      <c r="O363" s="472"/>
      <c r="Z363" s="473"/>
      <c r="AC363" s="474"/>
      <c r="AH363" s="475"/>
      <c r="AI363" s="476"/>
      <c r="AJ363" s="70">
        <f t="shared" si="86"/>
        <v>0</v>
      </c>
      <c r="AP363" s="476"/>
      <c r="AT363" s="477"/>
      <c r="AU363" s="477"/>
      <c r="AV363" s="470"/>
      <c r="AX363" s="478"/>
    </row>
    <row r="364" ht="15.75" customHeight="1">
      <c r="C364" s="470"/>
      <c r="E364" s="471"/>
      <c r="O364" s="472"/>
      <c r="Z364" s="473"/>
      <c r="AC364" s="474"/>
      <c r="AH364" s="475"/>
      <c r="AI364" s="476"/>
      <c r="AJ364" s="70">
        <f t="shared" si="86"/>
        <v>0</v>
      </c>
      <c r="AP364" s="476"/>
      <c r="AT364" s="477"/>
      <c r="AU364" s="477"/>
      <c r="AV364" s="470"/>
      <c r="AX364" s="478"/>
    </row>
    <row r="365" ht="15.75" customHeight="1">
      <c r="C365" s="470"/>
      <c r="E365" s="471"/>
      <c r="O365" s="472"/>
      <c r="Z365" s="473"/>
      <c r="AC365" s="474"/>
      <c r="AH365" s="475"/>
      <c r="AI365" s="476"/>
      <c r="AJ365" s="70">
        <f t="shared" si="86"/>
        <v>0</v>
      </c>
      <c r="AP365" s="476"/>
      <c r="AT365" s="477"/>
      <c r="AU365" s="477"/>
      <c r="AV365" s="470"/>
      <c r="AX365" s="478"/>
    </row>
    <row r="366" ht="15.75" customHeight="1">
      <c r="C366" s="470"/>
      <c r="E366" s="471"/>
      <c r="O366" s="472"/>
      <c r="Z366" s="473"/>
      <c r="AC366" s="474"/>
      <c r="AH366" s="475"/>
      <c r="AI366" s="476"/>
      <c r="AJ366" s="70">
        <f t="shared" si="86"/>
        <v>0</v>
      </c>
      <c r="AP366" s="476"/>
      <c r="AT366" s="477"/>
      <c r="AU366" s="477"/>
      <c r="AV366" s="470"/>
      <c r="AX366" s="478"/>
    </row>
    <row r="367" ht="15.75" customHeight="1">
      <c r="C367" s="470"/>
      <c r="E367" s="471"/>
      <c r="O367" s="472"/>
      <c r="Z367" s="473"/>
      <c r="AC367" s="474"/>
      <c r="AH367" s="475"/>
      <c r="AI367" s="476"/>
      <c r="AJ367" s="70">
        <f t="shared" si="86"/>
        <v>0</v>
      </c>
      <c r="AP367" s="476"/>
      <c r="AT367" s="477"/>
      <c r="AU367" s="477"/>
      <c r="AV367" s="470"/>
      <c r="AX367" s="478"/>
    </row>
    <row r="368" ht="15.75" customHeight="1">
      <c r="C368" s="470"/>
      <c r="E368" s="471"/>
      <c r="O368" s="472"/>
      <c r="Z368" s="473"/>
      <c r="AC368" s="474"/>
      <c r="AH368" s="475"/>
      <c r="AI368" s="476"/>
      <c r="AJ368" s="475"/>
      <c r="AP368" s="476"/>
      <c r="AT368" s="477"/>
      <c r="AU368" s="477"/>
      <c r="AV368" s="470"/>
      <c r="AX368" s="478"/>
    </row>
    <row r="369" ht="15.75" customHeight="1">
      <c r="C369" s="470"/>
      <c r="E369" s="471"/>
      <c r="O369" s="472"/>
      <c r="Z369" s="473"/>
      <c r="AC369" s="474"/>
      <c r="AH369" s="475"/>
      <c r="AI369" s="476"/>
      <c r="AJ369" s="475"/>
      <c r="AP369" s="476"/>
      <c r="AT369" s="477"/>
      <c r="AU369" s="477"/>
      <c r="AV369" s="470"/>
      <c r="AX369" s="478"/>
    </row>
    <row r="370" ht="15.75" customHeight="1">
      <c r="C370" s="470"/>
      <c r="E370" s="471"/>
      <c r="O370" s="472"/>
      <c r="Z370" s="473"/>
      <c r="AC370" s="474"/>
      <c r="AH370" s="475"/>
      <c r="AI370" s="476"/>
      <c r="AJ370" s="475"/>
      <c r="AP370" s="476"/>
      <c r="AT370" s="477"/>
      <c r="AU370" s="477"/>
      <c r="AV370" s="470"/>
      <c r="AX370" s="478"/>
    </row>
    <row r="371" ht="15.75" customHeight="1">
      <c r="C371" s="470"/>
      <c r="E371" s="471"/>
      <c r="O371" s="472"/>
      <c r="Z371" s="473"/>
      <c r="AC371" s="474"/>
      <c r="AH371" s="475"/>
      <c r="AI371" s="476"/>
      <c r="AJ371" s="475"/>
      <c r="AP371" s="476"/>
      <c r="AT371" s="477"/>
      <c r="AU371" s="477"/>
      <c r="AV371" s="470"/>
      <c r="AX371" s="478"/>
    </row>
    <row r="372" ht="15.75" customHeight="1">
      <c r="C372" s="470"/>
      <c r="E372" s="471"/>
      <c r="O372" s="472"/>
      <c r="Z372" s="473"/>
      <c r="AC372" s="474"/>
      <c r="AH372" s="475"/>
      <c r="AI372" s="476"/>
      <c r="AJ372" s="475"/>
      <c r="AP372" s="476"/>
      <c r="AT372" s="477"/>
      <c r="AU372" s="477"/>
      <c r="AV372" s="470"/>
      <c r="AX372" s="478"/>
    </row>
    <row r="373" ht="15.75" customHeight="1">
      <c r="C373" s="470"/>
      <c r="E373" s="471"/>
      <c r="O373" s="472"/>
      <c r="Z373" s="473"/>
      <c r="AC373" s="474"/>
      <c r="AH373" s="475"/>
      <c r="AI373" s="476"/>
      <c r="AJ373" s="475"/>
      <c r="AP373" s="476"/>
      <c r="AT373" s="477"/>
      <c r="AU373" s="477"/>
      <c r="AV373" s="470"/>
      <c r="AX373" s="478"/>
    </row>
    <row r="374" ht="15.75" customHeight="1">
      <c r="C374" s="470"/>
      <c r="E374" s="471"/>
      <c r="O374" s="472"/>
      <c r="Z374" s="473"/>
      <c r="AC374" s="474"/>
      <c r="AH374" s="475"/>
      <c r="AI374" s="476"/>
      <c r="AJ374" s="475"/>
      <c r="AP374" s="476"/>
      <c r="AT374" s="477"/>
      <c r="AU374" s="477"/>
      <c r="AV374" s="470"/>
      <c r="AX374" s="478"/>
    </row>
    <row r="375" ht="15.75" customHeight="1">
      <c r="C375" s="470"/>
      <c r="E375" s="471"/>
      <c r="O375" s="472"/>
      <c r="Z375" s="473"/>
      <c r="AC375" s="474"/>
      <c r="AH375" s="475"/>
      <c r="AI375" s="476"/>
      <c r="AJ375" s="475"/>
      <c r="AP375" s="476"/>
      <c r="AT375" s="477"/>
      <c r="AU375" s="477"/>
      <c r="AV375" s="470"/>
      <c r="AX375" s="478"/>
    </row>
    <row r="376" ht="15.75" customHeight="1">
      <c r="C376" s="470"/>
      <c r="E376" s="471"/>
      <c r="O376" s="472"/>
      <c r="Z376" s="473"/>
      <c r="AC376" s="474"/>
      <c r="AH376" s="475"/>
      <c r="AI376" s="476"/>
      <c r="AJ376" s="475"/>
      <c r="AP376" s="476"/>
      <c r="AT376" s="477"/>
      <c r="AU376" s="477"/>
      <c r="AV376" s="470"/>
      <c r="AX376" s="478"/>
    </row>
    <row r="377" ht="15.75" customHeight="1">
      <c r="C377" s="470"/>
      <c r="E377" s="471"/>
      <c r="O377" s="472"/>
      <c r="Z377" s="473"/>
      <c r="AC377" s="474"/>
      <c r="AH377" s="475"/>
      <c r="AI377" s="476"/>
      <c r="AJ377" s="475"/>
      <c r="AP377" s="476"/>
      <c r="AT377" s="477"/>
      <c r="AU377" s="477"/>
      <c r="AV377" s="470"/>
      <c r="AX377" s="478"/>
    </row>
    <row r="378" ht="15.75" customHeight="1">
      <c r="C378" s="470"/>
      <c r="E378" s="471"/>
      <c r="O378" s="472"/>
      <c r="Z378" s="473"/>
      <c r="AC378" s="474"/>
      <c r="AH378" s="475"/>
      <c r="AI378" s="476"/>
      <c r="AJ378" s="475"/>
      <c r="AP378" s="476"/>
      <c r="AT378" s="477"/>
      <c r="AU378" s="477"/>
      <c r="AV378" s="470"/>
      <c r="AX378" s="478"/>
    </row>
    <row r="379" ht="15.75" customHeight="1">
      <c r="C379" s="470"/>
      <c r="E379" s="471"/>
      <c r="O379" s="472"/>
      <c r="Z379" s="473"/>
      <c r="AC379" s="474"/>
      <c r="AH379" s="475"/>
      <c r="AI379" s="476"/>
      <c r="AJ379" s="475"/>
      <c r="AP379" s="476"/>
      <c r="AT379" s="477"/>
      <c r="AU379" s="477"/>
      <c r="AV379" s="470"/>
      <c r="AX379" s="478"/>
    </row>
    <row r="380" ht="15.75" customHeight="1">
      <c r="C380" s="470"/>
      <c r="E380" s="471"/>
      <c r="O380" s="472"/>
      <c r="Z380" s="473"/>
      <c r="AC380" s="474"/>
      <c r="AH380" s="475"/>
      <c r="AI380" s="476"/>
      <c r="AJ380" s="475"/>
      <c r="AP380" s="476"/>
      <c r="AT380" s="477"/>
      <c r="AU380" s="477"/>
      <c r="AV380" s="470"/>
      <c r="AX380" s="478"/>
    </row>
    <row r="381" ht="15.75" customHeight="1">
      <c r="C381" s="470"/>
      <c r="E381" s="471"/>
      <c r="O381" s="472"/>
      <c r="Z381" s="473"/>
      <c r="AC381" s="474"/>
      <c r="AH381" s="475"/>
      <c r="AI381" s="476"/>
      <c r="AJ381" s="475"/>
      <c r="AP381" s="476"/>
      <c r="AT381" s="477"/>
      <c r="AU381" s="477"/>
      <c r="AV381" s="470"/>
      <c r="AX381" s="478"/>
    </row>
    <row r="382" ht="15.75" customHeight="1">
      <c r="C382" s="470"/>
      <c r="E382" s="471"/>
      <c r="O382" s="472"/>
      <c r="Z382" s="473"/>
      <c r="AC382" s="474"/>
      <c r="AH382" s="475"/>
      <c r="AI382" s="476"/>
      <c r="AJ382" s="475"/>
      <c r="AP382" s="476"/>
      <c r="AT382" s="477"/>
      <c r="AU382" s="477"/>
      <c r="AV382" s="470"/>
      <c r="AX382" s="478"/>
    </row>
    <row r="383" ht="15.75" customHeight="1">
      <c r="C383" s="470"/>
      <c r="E383" s="471"/>
      <c r="O383" s="472"/>
      <c r="Z383" s="473"/>
      <c r="AC383" s="474"/>
      <c r="AH383" s="475"/>
      <c r="AI383" s="476"/>
      <c r="AJ383" s="475"/>
      <c r="AP383" s="476"/>
      <c r="AT383" s="477"/>
      <c r="AU383" s="477"/>
      <c r="AV383" s="470"/>
      <c r="AX383" s="478"/>
    </row>
    <row r="384" ht="15.75" customHeight="1">
      <c r="C384" s="470"/>
      <c r="E384" s="471"/>
      <c r="O384" s="472"/>
      <c r="Z384" s="473"/>
      <c r="AC384" s="474"/>
      <c r="AH384" s="475"/>
      <c r="AI384" s="476"/>
      <c r="AJ384" s="475"/>
      <c r="AP384" s="476"/>
      <c r="AT384" s="477"/>
      <c r="AU384" s="477"/>
      <c r="AV384" s="470"/>
      <c r="AX384" s="478"/>
    </row>
    <row r="385" ht="15.75" customHeight="1">
      <c r="C385" s="470"/>
      <c r="E385" s="471"/>
      <c r="O385" s="472"/>
      <c r="Z385" s="473"/>
      <c r="AC385" s="474"/>
      <c r="AH385" s="475"/>
      <c r="AI385" s="476"/>
      <c r="AJ385" s="475"/>
      <c r="AP385" s="476"/>
      <c r="AT385" s="477"/>
      <c r="AU385" s="477"/>
      <c r="AV385" s="470"/>
      <c r="AX385" s="478"/>
    </row>
    <row r="386" ht="15.75" customHeight="1">
      <c r="C386" s="470"/>
      <c r="E386" s="471"/>
      <c r="O386" s="472"/>
      <c r="Z386" s="473"/>
      <c r="AC386" s="474"/>
      <c r="AH386" s="475"/>
      <c r="AI386" s="476"/>
      <c r="AJ386" s="475"/>
      <c r="AP386" s="476"/>
      <c r="AT386" s="477"/>
      <c r="AU386" s="477"/>
      <c r="AV386" s="470"/>
      <c r="AX386" s="478"/>
    </row>
    <row r="387" ht="15.75" customHeight="1">
      <c r="C387" s="470"/>
      <c r="E387" s="471"/>
      <c r="O387" s="472"/>
      <c r="Z387" s="473"/>
      <c r="AC387" s="474"/>
      <c r="AH387" s="475"/>
      <c r="AI387" s="476"/>
      <c r="AJ387" s="475"/>
      <c r="AP387" s="476"/>
      <c r="AT387" s="477"/>
      <c r="AU387" s="477"/>
      <c r="AV387" s="470"/>
      <c r="AX387" s="478"/>
    </row>
    <row r="388" ht="15.75" customHeight="1">
      <c r="C388" s="470"/>
      <c r="E388" s="471"/>
      <c r="O388" s="472"/>
      <c r="Z388" s="473"/>
      <c r="AC388" s="474"/>
      <c r="AH388" s="475"/>
      <c r="AI388" s="476"/>
      <c r="AJ388" s="475"/>
      <c r="AP388" s="476"/>
      <c r="AT388" s="477"/>
      <c r="AU388" s="477"/>
      <c r="AV388" s="470"/>
      <c r="AX388" s="478"/>
    </row>
    <row r="389" ht="15.75" customHeight="1">
      <c r="C389" s="470"/>
      <c r="E389" s="471"/>
      <c r="O389" s="472"/>
      <c r="Z389" s="473"/>
      <c r="AC389" s="474"/>
      <c r="AH389" s="475"/>
      <c r="AI389" s="476"/>
      <c r="AJ389" s="475"/>
      <c r="AP389" s="476"/>
      <c r="AT389" s="477"/>
      <c r="AU389" s="477"/>
      <c r="AV389" s="470"/>
      <c r="AX389" s="478"/>
    </row>
    <row r="390" ht="15.75" customHeight="1">
      <c r="C390" s="470"/>
      <c r="E390" s="471"/>
      <c r="O390" s="472"/>
      <c r="Z390" s="473"/>
      <c r="AC390" s="474"/>
      <c r="AH390" s="475"/>
      <c r="AI390" s="476"/>
      <c r="AJ390" s="475"/>
      <c r="AP390" s="476"/>
      <c r="AT390" s="477"/>
      <c r="AU390" s="477"/>
      <c r="AV390" s="470"/>
      <c r="AX390" s="478"/>
    </row>
    <row r="391" ht="15.75" customHeight="1">
      <c r="C391" s="470"/>
      <c r="E391" s="471"/>
      <c r="O391" s="472"/>
      <c r="Z391" s="473"/>
      <c r="AC391" s="474"/>
      <c r="AH391" s="475"/>
      <c r="AI391" s="476"/>
      <c r="AJ391" s="475"/>
      <c r="AP391" s="476"/>
      <c r="AT391" s="477"/>
      <c r="AU391" s="477"/>
      <c r="AV391" s="470"/>
      <c r="AX391" s="478"/>
    </row>
    <row r="392" ht="15.75" customHeight="1">
      <c r="C392" s="470"/>
      <c r="E392" s="471"/>
      <c r="O392" s="472"/>
      <c r="Z392" s="473"/>
      <c r="AC392" s="474"/>
      <c r="AH392" s="475"/>
      <c r="AI392" s="476"/>
      <c r="AJ392" s="475"/>
      <c r="AP392" s="476"/>
      <c r="AT392" s="477"/>
      <c r="AU392" s="477"/>
      <c r="AV392" s="470"/>
      <c r="AX392" s="478"/>
    </row>
    <row r="393" ht="15.75" customHeight="1">
      <c r="C393" s="470"/>
      <c r="E393" s="471"/>
      <c r="O393" s="472"/>
      <c r="Z393" s="473"/>
      <c r="AC393" s="474"/>
      <c r="AH393" s="475"/>
      <c r="AI393" s="476"/>
      <c r="AJ393" s="475"/>
      <c r="AP393" s="476"/>
      <c r="AT393" s="477"/>
      <c r="AU393" s="477"/>
      <c r="AV393" s="470"/>
      <c r="AX393" s="478"/>
    </row>
    <row r="394" ht="15.75" customHeight="1">
      <c r="C394" s="470"/>
      <c r="E394" s="471"/>
      <c r="O394" s="472"/>
      <c r="Z394" s="473"/>
      <c r="AC394" s="474"/>
      <c r="AH394" s="475"/>
      <c r="AI394" s="476"/>
      <c r="AJ394" s="475"/>
      <c r="AP394" s="476"/>
      <c r="AT394" s="477"/>
      <c r="AU394" s="477"/>
      <c r="AV394" s="470"/>
      <c r="AX394" s="478"/>
    </row>
    <row r="395" ht="15.75" customHeight="1">
      <c r="C395" s="470"/>
      <c r="E395" s="471"/>
      <c r="O395" s="472"/>
      <c r="Z395" s="473"/>
      <c r="AC395" s="474"/>
      <c r="AH395" s="475"/>
      <c r="AI395" s="476"/>
      <c r="AJ395" s="475"/>
      <c r="AP395" s="476"/>
      <c r="AT395" s="477"/>
      <c r="AU395" s="477"/>
      <c r="AV395" s="470"/>
      <c r="AX395" s="478"/>
    </row>
    <row r="396" ht="15.75" customHeight="1">
      <c r="C396" s="470"/>
      <c r="E396" s="471"/>
      <c r="O396" s="472"/>
      <c r="Z396" s="473"/>
      <c r="AC396" s="474"/>
      <c r="AH396" s="475"/>
      <c r="AI396" s="476"/>
      <c r="AJ396" s="475"/>
      <c r="AP396" s="476"/>
      <c r="AT396" s="477"/>
      <c r="AU396" s="477"/>
      <c r="AV396" s="470"/>
      <c r="AX396" s="478"/>
    </row>
    <row r="397" ht="15.75" customHeight="1">
      <c r="C397" s="470"/>
      <c r="E397" s="471"/>
      <c r="O397" s="472"/>
      <c r="Z397" s="473"/>
      <c r="AC397" s="474"/>
      <c r="AH397" s="475"/>
      <c r="AI397" s="476"/>
      <c r="AJ397" s="475"/>
      <c r="AP397" s="476"/>
      <c r="AT397" s="477"/>
      <c r="AU397" s="477"/>
      <c r="AV397" s="470"/>
      <c r="AX397" s="478"/>
    </row>
    <row r="398" ht="15.75" customHeight="1">
      <c r="C398" s="470"/>
      <c r="E398" s="471"/>
      <c r="O398" s="472"/>
      <c r="Z398" s="473"/>
      <c r="AC398" s="474"/>
      <c r="AH398" s="475"/>
      <c r="AI398" s="476"/>
      <c r="AJ398" s="475"/>
      <c r="AP398" s="476"/>
      <c r="AT398" s="477"/>
      <c r="AU398" s="477"/>
      <c r="AV398" s="470"/>
      <c r="AX398" s="478"/>
    </row>
    <row r="399" ht="15.75" customHeight="1">
      <c r="C399" s="470"/>
      <c r="E399" s="471"/>
      <c r="O399" s="472"/>
      <c r="Z399" s="473"/>
      <c r="AC399" s="474"/>
      <c r="AH399" s="475"/>
      <c r="AI399" s="476"/>
      <c r="AJ399" s="475"/>
      <c r="AP399" s="476"/>
      <c r="AT399" s="477"/>
      <c r="AU399" s="477"/>
      <c r="AV399" s="470"/>
      <c r="AX399" s="478"/>
    </row>
    <row r="400" ht="15.75" customHeight="1">
      <c r="C400" s="470"/>
      <c r="E400" s="471"/>
      <c r="O400" s="472"/>
      <c r="Z400" s="473"/>
      <c r="AC400" s="474"/>
      <c r="AH400" s="475"/>
      <c r="AI400" s="476"/>
      <c r="AJ400" s="475"/>
      <c r="AP400" s="476"/>
      <c r="AT400" s="477"/>
      <c r="AU400" s="477"/>
      <c r="AV400" s="470"/>
      <c r="AX400" s="478"/>
    </row>
    <row r="401" ht="15.75" customHeight="1">
      <c r="C401" s="470"/>
      <c r="E401" s="471"/>
      <c r="O401" s="472"/>
      <c r="Z401" s="473"/>
      <c r="AC401" s="474"/>
      <c r="AH401" s="475"/>
      <c r="AI401" s="476"/>
      <c r="AJ401" s="475"/>
      <c r="AP401" s="476"/>
      <c r="AT401" s="477"/>
      <c r="AU401" s="477"/>
      <c r="AV401" s="470"/>
      <c r="AX401" s="478"/>
    </row>
    <row r="402" ht="15.75" customHeight="1">
      <c r="C402" s="470"/>
      <c r="E402" s="471"/>
      <c r="O402" s="472"/>
      <c r="Z402" s="473"/>
      <c r="AC402" s="474"/>
      <c r="AH402" s="475"/>
      <c r="AI402" s="476"/>
      <c r="AJ402" s="475"/>
      <c r="AP402" s="476"/>
      <c r="AT402" s="477"/>
      <c r="AU402" s="477"/>
      <c r="AV402" s="470"/>
      <c r="AX402" s="478"/>
    </row>
    <row r="403" ht="15.75" customHeight="1">
      <c r="C403" s="470"/>
      <c r="E403" s="471"/>
      <c r="O403" s="472"/>
      <c r="Z403" s="473"/>
      <c r="AC403" s="474"/>
      <c r="AH403" s="475"/>
      <c r="AI403" s="476"/>
      <c r="AJ403" s="475"/>
      <c r="AP403" s="476"/>
      <c r="AT403" s="477"/>
      <c r="AU403" s="477"/>
      <c r="AV403" s="470"/>
      <c r="AX403" s="478"/>
    </row>
    <row r="404" ht="15.75" customHeight="1">
      <c r="C404" s="470"/>
      <c r="E404" s="471"/>
      <c r="O404" s="472"/>
      <c r="Z404" s="473"/>
      <c r="AC404" s="474"/>
      <c r="AH404" s="475"/>
      <c r="AI404" s="476"/>
      <c r="AJ404" s="475"/>
      <c r="AP404" s="476"/>
      <c r="AT404" s="477"/>
      <c r="AU404" s="477"/>
      <c r="AV404" s="470"/>
      <c r="AX404" s="478"/>
    </row>
    <row r="405" ht="15.75" customHeight="1">
      <c r="C405" s="470"/>
      <c r="E405" s="471"/>
      <c r="O405" s="472"/>
      <c r="Z405" s="473"/>
      <c r="AC405" s="474"/>
      <c r="AH405" s="475"/>
      <c r="AI405" s="476"/>
      <c r="AJ405" s="475"/>
      <c r="AP405" s="476"/>
      <c r="AT405" s="477"/>
      <c r="AU405" s="477"/>
      <c r="AV405" s="470"/>
      <c r="AX405" s="478"/>
    </row>
    <row r="406" ht="15.75" customHeight="1">
      <c r="C406" s="470"/>
      <c r="E406" s="471"/>
      <c r="O406" s="472"/>
      <c r="Z406" s="473"/>
      <c r="AC406" s="474"/>
      <c r="AH406" s="475"/>
      <c r="AI406" s="476"/>
      <c r="AJ406" s="475"/>
      <c r="AP406" s="476"/>
      <c r="AT406" s="477"/>
      <c r="AU406" s="477"/>
      <c r="AV406" s="470"/>
      <c r="AX406" s="478"/>
    </row>
    <row r="407" ht="15.75" customHeight="1">
      <c r="C407" s="470"/>
      <c r="E407" s="471"/>
      <c r="O407" s="472"/>
      <c r="Z407" s="473"/>
      <c r="AC407" s="474"/>
      <c r="AH407" s="475"/>
      <c r="AI407" s="476"/>
      <c r="AJ407" s="475"/>
      <c r="AP407" s="476"/>
      <c r="AT407" s="477"/>
      <c r="AU407" s="477"/>
      <c r="AV407" s="470"/>
      <c r="AX407" s="478"/>
    </row>
    <row r="408" ht="15.75" customHeight="1">
      <c r="C408" s="470"/>
      <c r="E408" s="471"/>
      <c r="O408" s="472"/>
      <c r="Z408" s="473"/>
      <c r="AC408" s="474"/>
      <c r="AH408" s="475"/>
      <c r="AI408" s="476"/>
      <c r="AJ408" s="475"/>
      <c r="AP408" s="476"/>
      <c r="AT408" s="477"/>
      <c r="AU408" s="477"/>
      <c r="AV408" s="470"/>
      <c r="AX408" s="478"/>
    </row>
    <row r="409" ht="15.75" customHeight="1">
      <c r="C409" s="470"/>
      <c r="E409" s="471"/>
      <c r="O409" s="472"/>
      <c r="Z409" s="473"/>
      <c r="AC409" s="474"/>
      <c r="AH409" s="475"/>
      <c r="AI409" s="476"/>
      <c r="AJ409" s="475"/>
      <c r="AP409" s="476"/>
      <c r="AT409" s="477"/>
      <c r="AU409" s="477"/>
      <c r="AV409" s="470"/>
      <c r="AX409" s="478"/>
    </row>
    <row r="410" ht="15.75" customHeight="1">
      <c r="C410" s="470"/>
      <c r="E410" s="471"/>
      <c r="O410" s="472"/>
      <c r="Z410" s="473"/>
      <c r="AC410" s="474"/>
      <c r="AH410" s="475"/>
      <c r="AI410" s="476"/>
      <c r="AJ410" s="475"/>
      <c r="AP410" s="476"/>
      <c r="AT410" s="477"/>
      <c r="AU410" s="477"/>
      <c r="AV410" s="470"/>
      <c r="AX410" s="478"/>
    </row>
    <row r="411" ht="15.75" customHeight="1">
      <c r="C411" s="470"/>
      <c r="E411" s="471"/>
      <c r="O411" s="472"/>
      <c r="Z411" s="473"/>
      <c r="AC411" s="474"/>
      <c r="AH411" s="475"/>
      <c r="AI411" s="476"/>
      <c r="AJ411" s="475"/>
      <c r="AP411" s="476"/>
      <c r="AT411" s="477"/>
      <c r="AU411" s="477"/>
      <c r="AV411" s="470"/>
      <c r="AX411" s="478"/>
    </row>
    <row r="412" ht="15.75" customHeight="1">
      <c r="C412" s="470"/>
      <c r="E412" s="471"/>
      <c r="O412" s="472"/>
      <c r="Z412" s="473"/>
      <c r="AC412" s="474"/>
      <c r="AH412" s="475"/>
      <c r="AI412" s="476"/>
      <c r="AJ412" s="475"/>
      <c r="AP412" s="476"/>
      <c r="AT412" s="477"/>
      <c r="AU412" s="477"/>
      <c r="AV412" s="470"/>
      <c r="AX412" s="478"/>
    </row>
    <row r="413" ht="15.75" customHeight="1">
      <c r="C413" s="470"/>
      <c r="E413" s="471"/>
      <c r="O413" s="472"/>
      <c r="Z413" s="473"/>
      <c r="AC413" s="474"/>
      <c r="AH413" s="475"/>
      <c r="AI413" s="476"/>
      <c r="AJ413" s="475"/>
      <c r="AP413" s="476"/>
      <c r="AT413" s="477"/>
      <c r="AU413" s="477"/>
      <c r="AV413" s="470"/>
      <c r="AX413" s="478"/>
    </row>
    <row r="414" ht="15.75" customHeight="1">
      <c r="C414" s="470"/>
      <c r="E414" s="471"/>
      <c r="O414" s="472"/>
      <c r="Z414" s="473"/>
      <c r="AC414" s="474"/>
      <c r="AH414" s="475"/>
      <c r="AI414" s="476"/>
      <c r="AJ414" s="475"/>
      <c r="AP414" s="476"/>
      <c r="AT414" s="477"/>
      <c r="AU414" s="477"/>
      <c r="AV414" s="470"/>
      <c r="AX414" s="478"/>
    </row>
    <row r="415" ht="15.75" customHeight="1">
      <c r="C415" s="470"/>
      <c r="E415" s="471"/>
      <c r="O415" s="472"/>
      <c r="Z415" s="473"/>
      <c r="AC415" s="474"/>
      <c r="AH415" s="475"/>
      <c r="AI415" s="476"/>
      <c r="AJ415" s="475"/>
      <c r="AP415" s="476"/>
      <c r="AT415" s="477"/>
      <c r="AU415" s="477"/>
      <c r="AV415" s="470"/>
      <c r="AX415" s="478"/>
    </row>
    <row r="416" ht="15.75" customHeight="1">
      <c r="C416" s="470"/>
      <c r="E416" s="471"/>
      <c r="O416" s="472"/>
      <c r="Z416" s="473"/>
      <c r="AC416" s="474"/>
      <c r="AH416" s="475"/>
      <c r="AI416" s="476"/>
      <c r="AJ416" s="475"/>
      <c r="AP416" s="476"/>
      <c r="AT416" s="477"/>
      <c r="AU416" s="477"/>
      <c r="AV416" s="470"/>
      <c r="AX416" s="478"/>
    </row>
    <row r="417" ht="15.75" customHeight="1">
      <c r="C417" s="470"/>
      <c r="E417" s="471"/>
      <c r="O417" s="472"/>
      <c r="Z417" s="473"/>
      <c r="AC417" s="474"/>
      <c r="AH417" s="475"/>
      <c r="AI417" s="476"/>
      <c r="AJ417" s="475"/>
      <c r="AP417" s="476"/>
      <c r="AT417" s="477"/>
      <c r="AU417" s="477"/>
      <c r="AV417" s="470"/>
      <c r="AX417" s="478"/>
    </row>
    <row r="418" ht="15.75" customHeight="1">
      <c r="C418" s="470"/>
      <c r="E418" s="471"/>
      <c r="O418" s="472"/>
      <c r="Z418" s="473"/>
      <c r="AC418" s="474"/>
      <c r="AH418" s="475"/>
      <c r="AI418" s="476"/>
      <c r="AJ418" s="475"/>
      <c r="AP418" s="476"/>
      <c r="AT418" s="477"/>
      <c r="AU418" s="477"/>
      <c r="AV418" s="470"/>
      <c r="AX418" s="478"/>
    </row>
    <row r="419" ht="15.75" customHeight="1">
      <c r="C419" s="470"/>
      <c r="E419" s="471"/>
      <c r="O419" s="472"/>
      <c r="Z419" s="473"/>
      <c r="AC419" s="474"/>
      <c r="AH419" s="475"/>
      <c r="AI419" s="476"/>
      <c r="AJ419" s="475"/>
      <c r="AP419" s="476"/>
      <c r="AT419" s="477"/>
      <c r="AU419" s="477"/>
      <c r="AV419" s="470"/>
      <c r="AX419" s="478"/>
    </row>
    <row r="420" ht="15.75" customHeight="1">
      <c r="C420" s="470"/>
      <c r="E420" s="471"/>
      <c r="O420" s="472"/>
      <c r="Z420" s="473"/>
      <c r="AC420" s="474"/>
      <c r="AH420" s="475"/>
      <c r="AI420" s="476"/>
      <c r="AJ420" s="475"/>
      <c r="AP420" s="476"/>
      <c r="AT420" s="477"/>
      <c r="AU420" s="477"/>
      <c r="AV420" s="470"/>
      <c r="AX420" s="478"/>
    </row>
    <row r="421" ht="15.75" customHeight="1">
      <c r="C421" s="470"/>
      <c r="E421" s="471"/>
      <c r="O421" s="472"/>
      <c r="Z421" s="473"/>
      <c r="AC421" s="474"/>
      <c r="AH421" s="475"/>
      <c r="AI421" s="476"/>
      <c r="AJ421" s="475"/>
      <c r="AP421" s="476"/>
      <c r="AT421" s="477"/>
      <c r="AU421" s="477"/>
      <c r="AV421" s="470"/>
      <c r="AX421" s="478"/>
    </row>
    <row r="422" ht="15.75" customHeight="1">
      <c r="C422" s="470"/>
      <c r="E422" s="471"/>
      <c r="O422" s="472"/>
      <c r="Z422" s="473"/>
      <c r="AC422" s="474"/>
      <c r="AH422" s="475"/>
      <c r="AI422" s="476"/>
      <c r="AJ422" s="475"/>
      <c r="AP422" s="476"/>
      <c r="AT422" s="477"/>
      <c r="AU422" s="477"/>
      <c r="AV422" s="470"/>
      <c r="AX422" s="478"/>
    </row>
    <row r="423" ht="15.75" customHeight="1">
      <c r="C423" s="470"/>
      <c r="E423" s="471"/>
      <c r="O423" s="472"/>
      <c r="Z423" s="473"/>
      <c r="AC423" s="474"/>
      <c r="AH423" s="475"/>
      <c r="AI423" s="476"/>
      <c r="AJ423" s="475"/>
      <c r="AP423" s="476"/>
      <c r="AT423" s="477"/>
      <c r="AU423" s="477"/>
      <c r="AV423" s="470"/>
      <c r="AX423" s="478"/>
    </row>
    <row r="424" ht="15.75" customHeight="1">
      <c r="C424" s="470"/>
      <c r="E424" s="471"/>
      <c r="O424" s="472"/>
      <c r="Z424" s="473"/>
      <c r="AC424" s="474"/>
      <c r="AH424" s="475"/>
      <c r="AI424" s="476"/>
      <c r="AJ424" s="475"/>
      <c r="AP424" s="476"/>
      <c r="AT424" s="477"/>
      <c r="AU424" s="477"/>
      <c r="AV424" s="470"/>
      <c r="AX424" s="478"/>
    </row>
    <row r="425" ht="15.75" customHeight="1">
      <c r="C425" s="470"/>
      <c r="E425" s="471"/>
      <c r="O425" s="472"/>
      <c r="Z425" s="473"/>
      <c r="AC425" s="474"/>
      <c r="AH425" s="475"/>
      <c r="AI425" s="476"/>
      <c r="AJ425" s="475"/>
      <c r="AP425" s="476"/>
      <c r="AT425" s="477"/>
      <c r="AU425" s="477"/>
      <c r="AV425" s="470"/>
      <c r="AX425" s="478"/>
    </row>
    <row r="426" ht="15.75" customHeight="1">
      <c r="C426" s="470"/>
      <c r="E426" s="471"/>
      <c r="O426" s="472"/>
      <c r="Z426" s="473"/>
      <c r="AC426" s="474"/>
      <c r="AH426" s="475"/>
      <c r="AI426" s="476"/>
      <c r="AJ426" s="475"/>
      <c r="AP426" s="476"/>
      <c r="AT426" s="477"/>
      <c r="AU426" s="477"/>
      <c r="AV426" s="470"/>
      <c r="AX426" s="478"/>
    </row>
    <row r="427" ht="15.75" customHeight="1">
      <c r="C427" s="470"/>
      <c r="E427" s="471"/>
      <c r="O427" s="472"/>
      <c r="Z427" s="473"/>
      <c r="AC427" s="474"/>
      <c r="AH427" s="475"/>
      <c r="AI427" s="476"/>
      <c r="AJ427" s="475"/>
      <c r="AP427" s="476"/>
      <c r="AT427" s="477"/>
      <c r="AU427" s="477"/>
      <c r="AV427" s="470"/>
      <c r="AX427" s="478"/>
    </row>
    <row r="428" ht="15.75" customHeight="1">
      <c r="C428" s="470"/>
      <c r="E428" s="471"/>
      <c r="O428" s="472"/>
      <c r="Z428" s="473"/>
      <c r="AC428" s="474"/>
      <c r="AH428" s="475"/>
      <c r="AI428" s="476"/>
      <c r="AJ428" s="475"/>
      <c r="AP428" s="476"/>
      <c r="AT428" s="477"/>
      <c r="AU428" s="477"/>
      <c r="AV428" s="470"/>
      <c r="AX428" s="478"/>
    </row>
    <row r="429" ht="15.75" customHeight="1">
      <c r="C429" s="470"/>
      <c r="E429" s="471"/>
      <c r="O429" s="472"/>
      <c r="Z429" s="473"/>
      <c r="AC429" s="474"/>
      <c r="AH429" s="475"/>
      <c r="AI429" s="476"/>
      <c r="AJ429" s="475"/>
      <c r="AP429" s="476"/>
      <c r="AT429" s="477"/>
      <c r="AU429" s="477"/>
      <c r="AV429" s="470"/>
      <c r="AX429" s="478"/>
    </row>
    <row r="430" ht="15.75" customHeight="1">
      <c r="C430" s="470"/>
      <c r="E430" s="471"/>
      <c r="O430" s="472"/>
      <c r="Z430" s="473"/>
      <c r="AC430" s="474"/>
      <c r="AH430" s="475"/>
      <c r="AI430" s="476"/>
      <c r="AJ430" s="475"/>
      <c r="AP430" s="476"/>
      <c r="AT430" s="477"/>
      <c r="AU430" s="477"/>
      <c r="AV430" s="470"/>
      <c r="AX430" s="478"/>
    </row>
    <row r="431" ht="15.75" customHeight="1">
      <c r="C431" s="470"/>
      <c r="E431" s="471"/>
      <c r="O431" s="472"/>
      <c r="Z431" s="473"/>
      <c r="AC431" s="474"/>
      <c r="AH431" s="475"/>
      <c r="AI431" s="476"/>
      <c r="AJ431" s="475"/>
      <c r="AP431" s="476"/>
      <c r="AT431" s="477"/>
      <c r="AU431" s="477"/>
      <c r="AV431" s="470"/>
      <c r="AX431" s="478"/>
    </row>
    <row r="432" ht="15.75" customHeight="1">
      <c r="C432" s="470"/>
      <c r="E432" s="471"/>
      <c r="O432" s="472"/>
      <c r="Z432" s="473"/>
      <c r="AC432" s="474"/>
      <c r="AH432" s="475"/>
      <c r="AI432" s="476"/>
      <c r="AJ432" s="475"/>
      <c r="AP432" s="476"/>
      <c r="AT432" s="477"/>
      <c r="AU432" s="477"/>
      <c r="AV432" s="470"/>
      <c r="AX432" s="478"/>
    </row>
    <row r="433" ht="15.75" customHeight="1">
      <c r="C433" s="470"/>
      <c r="E433" s="471"/>
      <c r="O433" s="472"/>
      <c r="Z433" s="473"/>
      <c r="AC433" s="474"/>
      <c r="AH433" s="475"/>
      <c r="AI433" s="476"/>
      <c r="AJ433" s="475"/>
      <c r="AP433" s="476"/>
      <c r="AT433" s="477"/>
      <c r="AU433" s="477"/>
      <c r="AV433" s="470"/>
      <c r="AX433" s="478"/>
    </row>
    <row r="434" ht="15.75" customHeight="1">
      <c r="C434" s="470"/>
      <c r="E434" s="471"/>
      <c r="O434" s="472"/>
      <c r="Z434" s="473"/>
      <c r="AC434" s="474"/>
      <c r="AH434" s="475"/>
      <c r="AI434" s="476"/>
      <c r="AJ434" s="475"/>
      <c r="AP434" s="476"/>
      <c r="AT434" s="477"/>
      <c r="AU434" s="477"/>
      <c r="AV434" s="470"/>
      <c r="AX434" s="478"/>
    </row>
    <row r="435" ht="15.75" customHeight="1">
      <c r="C435" s="470"/>
      <c r="E435" s="471"/>
      <c r="O435" s="472"/>
      <c r="Z435" s="473"/>
      <c r="AC435" s="474"/>
      <c r="AH435" s="475"/>
      <c r="AI435" s="476"/>
      <c r="AJ435" s="475"/>
      <c r="AP435" s="476"/>
      <c r="AT435" s="477"/>
      <c r="AU435" s="477"/>
      <c r="AV435" s="470"/>
      <c r="AX435" s="478"/>
    </row>
    <row r="436" ht="15.75" customHeight="1">
      <c r="C436" s="470"/>
      <c r="E436" s="471"/>
      <c r="O436" s="472"/>
      <c r="Z436" s="473"/>
      <c r="AC436" s="474"/>
      <c r="AH436" s="475"/>
      <c r="AI436" s="476"/>
      <c r="AJ436" s="475"/>
      <c r="AP436" s="476"/>
      <c r="AT436" s="477"/>
      <c r="AU436" s="477"/>
      <c r="AV436" s="470"/>
      <c r="AX436" s="478"/>
    </row>
    <row r="437" ht="15.75" customHeight="1">
      <c r="C437" s="470"/>
      <c r="E437" s="471"/>
      <c r="O437" s="472"/>
      <c r="Z437" s="473"/>
      <c r="AC437" s="474"/>
      <c r="AH437" s="475"/>
      <c r="AI437" s="476"/>
      <c r="AJ437" s="475"/>
      <c r="AP437" s="476"/>
      <c r="AT437" s="477"/>
      <c r="AU437" s="477"/>
      <c r="AV437" s="470"/>
      <c r="AX437" s="478"/>
    </row>
    <row r="438" ht="15.75" customHeight="1">
      <c r="C438" s="470"/>
      <c r="E438" s="471"/>
      <c r="O438" s="472"/>
      <c r="Z438" s="473"/>
      <c r="AC438" s="474"/>
      <c r="AH438" s="475"/>
      <c r="AI438" s="476"/>
      <c r="AJ438" s="475"/>
      <c r="AP438" s="476"/>
      <c r="AT438" s="477"/>
      <c r="AU438" s="477"/>
      <c r="AV438" s="470"/>
      <c r="AX438" s="478"/>
    </row>
    <row r="439" ht="15.75" customHeight="1">
      <c r="C439" s="470"/>
      <c r="E439" s="471"/>
      <c r="O439" s="472"/>
      <c r="Z439" s="473"/>
      <c r="AC439" s="474"/>
      <c r="AH439" s="475"/>
      <c r="AI439" s="476"/>
      <c r="AJ439" s="475"/>
      <c r="AP439" s="476"/>
      <c r="AT439" s="477"/>
      <c r="AU439" s="477"/>
      <c r="AV439" s="470"/>
      <c r="AX439" s="478"/>
    </row>
    <row r="440" ht="15.75" customHeight="1">
      <c r="C440" s="470"/>
      <c r="E440" s="471"/>
      <c r="O440" s="472"/>
      <c r="Z440" s="473"/>
      <c r="AC440" s="474"/>
      <c r="AH440" s="475"/>
      <c r="AI440" s="476"/>
      <c r="AJ440" s="475"/>
      <c r="AP440" s="476"/>
      <c r="AT440" s="477"/>
      <c r="AU440" s="477"/>
      <c r="AV440" s="470"/>
      <c r="AX440" s="478"/>
    </row>
    <row r="441" ht="15.75" customHeight="1">
      <c r="C441" s="470"/>
      <c r="E441" s="471"/>
      <c r="O441" s="472"/>
      <c r="Z441" s="473"/>
      <c r="AC441" s="474"/>
      <c r="AH441" s="475"/>
      <c r="AI441" s="476"/>
      <c r="AJ441" s="475"/>
      <c r="AP441" s="476"/>
      <c r="AT441" s="477"/>
      <c r="AU441" s="477"/>
      <c r="AV441" s="470"/>
      <c r="AX441" s="478"/>
    </row>
    <row r="442" ht="15.75" customHeight="1">
      <c r="C442" s="470"/>
      <c r="E442" s="471"/>
      <c r="O442" s="472"/>
      <c r="Z442" s="473"/>
      <c r="AC442" s="474"/>
      <c r="AH442" s="475"/>
      <c r="AI442" s="476"/>
      <c r="AJ442" s="475"/>
      <c r="AP442" s="476"/>
      <c r="AT442" s="477"/>
      <c r="AU442" s="477"/>
      <c r="AV442" s="470"/>
      <c r="AX442" s="478"/>
    </row>
    <row r="443" ht="15.75" customHeight="1">
      <c r="C443" s="470"/>
      <c r="E443" s="471"/>
      <c r="O443" s="472"/>
      <c r="Z443" s="473"/>
      <c r="AC443" s="474"/>
      <c r="AH443" s="475"/>
      <c r="AI443" s="476"/>
      <c r="AJ443" s="475"/>
      <c r="AP443" s="476"/>
      <c r="AT443" s="477"/>
      <c r="AU443" s="477"/>
      <c r="AV443" s="470"/>
      <c r="AX443" s="478"/>
    </row>
    <row r="444" ht="15.75" customHeight="1">
      <c r="C444" s="470"/>
      <c r="E444" s="471"/>
      <c r="O444" s="472"/>
      <c r="Z444" s="473"/>
      <c r="AC444" s="474"/>
      <c r="AH444" s="475"/>
      <c r="AI444" s="476"/>
      <c r="AJ444" s="475"/>
      <c r="AP444" s="476"/>
      <c r="AT444" s="477"/>
      <c r="AU444" s="477"/>
      <c r="AV444" s="470"/>
      <c r="AX444" s="478"/>
    </row>
    <row r="445" ht="15.75" customHeight="1">
      <c r="C445" s="470"/>
      <c r="E445" s="471"/>
      <c r="O445" s="472"/>
      <c r="Z445" s="473"/>
      <c r="AC445" s="474"/>
      <c r="AH445" s="475"/>
      <c r="AI445" s="476"/>
      <c r="AJ445" s="475"/>
      <c r="AP445" s="476"/>
      <c r="AT445" s="477"/>
      <c r="AU445" s="477"/>
      <c r="AV445" s="470"/>
      <c r="AX445" s="478"/>
    </row>
    <row r="446" ht="15.75" customHeight="1">
      <c r="C446" s="470"/>
      <c r="E446" s="471"/>
      <c r="O446" s="472"/>
      <c r="Z446" s="473"/>
      <c r="AC446" s="474"/>
      <c r="AH446" s="475"/>
      <c r="AI446" s="476"/>
      <c r="AJ446" s="475"/>
      <c r="AP446" s="476"/>
      <c r="AT446" s="477"/>
      <c r="AU446" s="477"/>
      <c r="AV446" s="470"/>
      <c r="AX446" s="478"/>
    </row>
    <row r="447" ht="15.75" customHeight="1">
      <c r="C447" s="470"/>
      <c r="E447" s="471"/>
      <c r="O447" s="472"/>
      <c r="Z447" s="473"/>
      <c r="AC447" s="474"/>
      <c r="AH447" s="475"/>
      <c r="AI447" s="476"/>
      <c r="AJ447" s="475"/>
      <c r="AP447" s="476"/>
      <c r="AT447" s="477"/>
      <c r="AU447" s="477"/>
      <c r="AV447" s="470"/>
      <c r="AX447" s="478"/>
    </row>
    <row r="448" ht="15.75" customHeight="1">
      <c r="C448" s="470"/>
      <c r="E448" s="471"/>
      <c r="O448" s="472"/>
      <c r="Z448" s="473"/>
      <c r="AC448" s="474"/>
      <c r="AH448" s="475"/>
      <c r="AI448" s="476"/>
      <c r="AJ448" s="475"/>
      <c r="AP448" s="476"/>
      <c r="AT448" s="477"/>
      <c r="AU448" s="477"/>
      <c r="AV448" s="470"/>
      <c r="AX448" s="478"/>
    </row>
    <row r="449" ht="15.75" customHeight="1">
      <c r="C449" s="470"/>
      <c r="E449" s="471"/>
      <c r="O449" s="472"/>
      <c r="Z449" s="473"/>
      <c r="AC449" s="474"/>
      <c r="AH449" s="475"/>
      <c r="AI449" s="476"/>
      <c r="AJ449" s="475"/>
      <c r="AP449" s="476"/>
      <c r="AT449" s="477"/>
      <c r="AU449" s="477"/>
      <c r="AV449" s="470"/>
      <c r="AX449" s="478"/>
    </row>
    <row r="450" ht="15.75" customHeight="1">
      <c r="C450" s="470"/>
      <c r="E450" s="471"/>
      <c r="O450" s="472"/>
      <c r="Z450" s="473"/>
      <c r="AC450" s="474"/>
      <c r="AH450" s="475"/>
      <c r="AI450" s="476"/>
      <c r="AJ450" s="475"/>
      <c r="AP450" s="476"/>
      <c r="AT450" s="477"/>
      <c r="AU450" s="477"/>
      <c r="AV450" s="470"/>
      <c r="AX450" s="478"/>
    </row>
    <row r="451" ht="15.75" customHeight="1">
      <c r="C451" s="470"/>
      <c r="E451" s="471"/>
      <c r="O451" s="472"/>
      <c r="Z451" s="473"/>
      <c r="AC451" s="474"/>
      <c r="AH451" s="475"/>
      <c r="AI451" s="476"/>
      <c r="AJ451" s="475"/>
      <c r="AP451" s="476"/>
      <c r="AT451" s="477"/>
      <c r="AU451" s="477"/>
      <c r="AV451" s="470"/>
      <c r="AX451" s="478"/>
    </row>
    <row r="452" ht="15.75" customHeight="1">
      <c r="C452" s="470"/>
      <c r="E452" s="471"/>
      <c r="O452" s="472"/>
      <c r="Z452" s="473"/>
      <c r="AC452" s="474"/>
      <c r="AH452" s="475"/>
      <c r="AI452" s="476"/>
      <c r="AJ452" s="475"/>
      <c r="AP452" s="476"/>
      <c r="AT452" s="477"/>
      <c r="AU452" s="477"/>
      <c r="AV452" s="470"/>
      <c r="AX452" s="478"/>
    </row>
    <row r="453" ht="15.75" customHeight="1">
      <c r="C453" s="470"/>
      <c r="E453" s="471"/>
      <c r="O453" s="472"/>
      <c r="Z453" s="473"/>
      <c r="AC453" s="474"/>
      <c r="AH453" s="475"/>
      <c r="AI453" s="476"/>
      <c r="AJ453" s="475"/>
      <c r="AP453" s="476"/>
      <c r="AT453" s="477"/>
      <c r="AU453" s="477"/>
      <c r="AV453" s="470"/>
      <c r="AX453" s="478"/>
    </row>
    <row r="454" ht="15.75" customHeight="1">
      <c r="C454" s="470"/>
      <c r="E454" s="471"/>
      <c r="O454" s="472"/>
      <c r="Z454" s="473"/>
      <c r="AC454" s="474"/>
      <c r="AH454" s="475"/>
      <c r="AI454" s="476"/>
      <c r="AJ454" s="475"/>
      <c r="AP454" s="476"/>
      <c r="AT454" s="477"/>
      <c r="AU454" s="477"/>
      <c r="AV454" s="470"/>
      <c r="AX454" s="478"/>
    </row>
    <row r="455" ht="15.75" customHeight="1">
      <c r="C455" s="470"/>
      <c r="E455" s="471"/>
      <c r="O455" s="472"/>
      <c r="Z455" s="473"/>
      <c r="AC455" s="474"/>
      <c r="AH455" s="475"/>
      <c r="AI455" s="476"/>
      <c r="AJ455" s="475"/>
      <c r="AP455" s="476"/>
      <c r="AT455" s="477"/>
      <c r="AU455" s="477"/>
      <c r="AV455" s="470"/>
      <c r="AX455" s="478"/>
    </row>
    <row r="456" ht="15.75" customHeight="1">
      <c r="C456" s="470"/>
      <c r="E456" s="471"/>
      <c r="O456" s="472"/>
      <c r="Z456" s="473"/>
      <c r="AC456" s="474"/>
      <c r="AH456" s="475"/>
      <c r="AI456" s="476"/>
      <c r="AJ456" s="475"/>
      <c r="AP456" s="476"/>
      <c r="AT456" s="477"/>
      <c r="AU456" s="477"/>
      <c r="AV456" s="470"/>
      <c r="AX456" s="478"/>
    </row>
    <row r="457" ht="15.75" customHeight="1">
      <c r="C457" s="470"/>
      <c r="E457" s="471"/>
      <c r="O457" s="472"/>
      <c r="Z457" s="473"/>
      <c r="AC457" s="474"/>
      <c r="AH457" s="475"/>
      <c r="AI457" s="476"/>
      <c r="AJ457" s="475"/>
      <c r="AP457" s="476"/>
      <c r="AT457" s="477"/>
      <c r="AU457" s="477"/>
      <c r="AV457" s="470"/>
      <c r="AX457" s="478"/>
    </row>
    <row r="458" ht="15.75" customHeight="1">
      <c r="C458" s="470"/>
      <c r="E458" s="471"/>
      <c r="O458" s="472"/>
      <c r="Z458" s="473"/>
      <c r="AC458" s="474"/>
      <c r="AH458" s="475"/>
      <c r="AI458" s="476"/>
      <c r="AJ458" s="475"/>
      <c r="AP458" s="476"/>
      <c r="AT458" s="477"/>
      <c r="AU458" s="477"/>
      <c r="AV458" s="470"/>
      <c r="AX458" s="478"/>
    </row>
    <row r="459" ht="15.75" customHeight="1">
      <c r="C459" s="470"/>
      <c r="E459" s="471"/>
      <c r="O459" s="472"/>
      <c r="Z459" s="473"/>
      <c r="AC459" s="474"/>
      <c r="AH459" s="475"/>
      <c r="AI459" s="476"/>
      <c r="AJ459" s="475"/>
      <c r="AP459" s="476"/>
      <c r="AT459" s="477"/>
      <c r="AU459" s="477"/>
      <c r="AV459" s="470"/>
      <c r="AX459" s="478"/>
    </row>
    <row r="460" ht="15.75" customHeight="1">
      <c r="C460" s="470"/>
      <c r="E460" s="471"/>
      <c r="O460" s="472"/>
      <c r="Z460" s="473"/>
      <c r="AC460" s="474"/>
      <c r="AH460" s="475"/>
      <c r="AI460" s="476"/>
      <c r="AJ460" s="475"/>
      <c r="AP460" s="476"/>
      <c r="AT460" s="477"/>
      <c r="AU460" s="477"/>
      <c r="AV460" s="470"/>
      <c r="AX460" s="478"/>
    </row>
    <row r="461" ht="15.75" customHeight="1">
      <c r="C461" s="470"/>
      <c r="E461" s="471"/>
      <c r="O461" s="472"/>
      <c r="Z461" s="473"/>
      <c r="AC461" s="474"/>
      <c r="AH461" s="475"/>
      <c r="AI461" s="476"/>
      <c r="AJ461" s="475"/>
      <c r="AP461" s="476"/>
      <c r="AT461" s="477"/>
      <c r="AU461" s="477"/>
      <c r="AV461" s="470"/>
      <c r="AX461" s="478"/>
    </row>
    <row r="462" ht="15.75" customHeight="1">
      <c r="C462" s="470"/>
      <c r="E462" s="471"/>
      <c r="O462" s="472"/>
      <c r="Z462" s="473"/>
      <c r="AC462" s="474"/>
      <c r="AH462" s="475"/>
      <c r="AI462" s="476"/>
      <c r="AJ462" s="475"/>
      <c r="AP462" s="476"/>
      <c r="AT462" s="477"/>
      <c r="AU462" s="477"/>
      <c r="AV462" s="470"/>
      <c r="AX462" s="478"/>
    </row>
    <row r="463" ht="15.75" customHeight="1">
      <c r="C463" s="470"/>
      <c r="E463" s="471"/>
      <c r="O463" s="472"/>
      <c r="Z463" s="473"/>
      <c r="AC463" s="474"/>
      <c r="AH463" s="475"/>
      <c r="AI463" s="476"/>
      <c r="AJ463" s="475"/>
      <c r="AP463" s="476"/>
      <c r="AT463" s="477"/>
      <c r="AU463" s="477"/>
      <c r="AV463" s="470"/>
      <c r="AX463" s="478"/>
    </row>
    <row r="464" ht="15.75" customHeight="1">
      <c r="C464" s="470"/>
      <c r="E464" s="471"/>
      <c r="O464" s="472"/>
      <c r="Z464" s="473"/>
      <c r="AC464" s="474"/>
      <c r="AH464" s="475"/>
      <c r="AI464" s="476"/>
      <c r="AJ464" s="475"/>
      <c r="AP464" s="476"/>
      <c r="AT464" s="477"/>
      <c r="AU464" s="477"/>
      <c r="AV464" s="470"/>
      <c r="AX464" s="478"/>
    </row>
    <row r="465" ht="15.75" customHeight="1">
      <c r="C465" s="470"/>
      <c r="E465" s="471"/>
      <c r="O465" s="472"/>
      <c r="Z465" s="473"/>
      <c r="AC465" s="474"/>
      <c r="AH465" s="475"/>
      <c r="AI465" s="476"/>
      <c r="AJ465" s="475"/>
      <c r="AP465" s="476"/>
      <c r="AT465" s="477"/>
      <c r="AU465" s="477"/>
      <c r="AV465" s="470"/>
      <c r="AX465" s="478"/>
    </row>
    <row r="466" ht="15.75" customHeight="1">
      <c r="C466" s="470"/>
      <c r="E466" s="471"/>
      <c r="O466" s="472"/>
      <c r="Z466" s="473"/>
      <c r="AC466" s="474"/>
      <c r="AH466" s="475"/>
      <c r="AI466" s="476"/>
      <c r="AJ466" s="475"/>
      <c r="AP466" s="476"/>
      <c r="AT466" s="477"/>
      <c r="AU466" s="477"/>
      <c r="AV466" s="470"/>
      <c r="AX466" s="478"/>
    </row>
    <row r="467" ht="15.75" customHeight="1">
      <c r="C467" s="470"/>
      <c r="E467" s="471"/>
      <c r="O467" s="472"/>
      <c r="Z467" s="473"/>
      <c r="AC467" s="474"/>
      <c r="AH467" s="475"/>
      <c r="AI467" s="476"/>
      <c r="AJ467" s="475"/>
      <c r="AP467" s="476"/>
      <c r="AT467" s="477"/>
      <c r="AU467" s="477"/>
      <c r="AV467" s="470"/>
      <c r="AX467" s="478"/>
    </row>
    <row r="468" ht="15.75" customHeight="1">
      <c r="C468" s="470"/>
      <c r="E468" s="471"/>
      <c r="O468" s="472"/>
      <c r="Z468" s="473"/>
      <c r="AC468" s="474"/>
      <c r="AH468" s="475"/>
      <c r="AI468" s="476"/>
      <c r="AJ468" s="475"/>
      <c r="AP468" s="476"/>
      <c r="AT468" s="477"/>
      <c r="AU468" s="477"/>
      <c r="AV468" s="470"/>
      <c r="AX468" s="478"/>
    </row>
    <row r="469" ht="15.75" customHeight="1">
      <c r="C469" s="470"/>
      <c r="E469" s="471"/>
      <c r="O469" s="472"/>
      <c r="Z469" s="473"/>
      <c r="AC469" s="474"/>
      <c r="AH469" s="475"/>
      <c r="AI469" s="476"/>
      <c r="AJ469" s="475"/>
      <c r="AP469" s="476"/>
      <c r="AT469" s="477"/>
      <c r="AU469" s="477"/>
      <c r="AV469" s="470"/>
      <c r="AX469" s="478"/>
    </row>
    <row r="470" ht="15.75" customHeight="1">
      <c r="C470" s="470"/>
      <c r="E470" s="471"/>
      <c r="O470" s="472"/>
      <c r="Z470" s="473"/>
      <c r="AC470" s="474"/>
      <c r="AH470" s="475"/>
      <c r="AI470" s="476"/>
      <c r="AJ470" s="475"/>
      <c r="AP470" s="476"/>
      <c r="AT470" s="477"/>
      <c r="AU470" s="477"/>
      <c r="AV470" s="470"/>
      <c r="AX470" s="478"/>
    </row>
    <row r="471" ht="15.75" customHeight="1">
      <c r="C471" s="470"/>
      <c r="E471" s="471"/>
      <c r="O471" s="472"/>
      <c r="Z471" s="473"/>
      <c r="AC471" s="474"/>
      <c r="AH471" s="475"/>
      <c r="AI471" s="476"/>
      <c r="AJ471" s="475"/>
      <c r="AP471" s="476"/>
      <c r="AT471" s="477"/>
      <c r="AU471" s="477"/>
      <c r="AV471" s="470"/>
      <c r="AX471" s="478"/>
    </row>
    <row r="472" ht="15.75" customHeight="1">
      <c r="C472" s="470"/>
      <c r="E472" s="471"/>
      <c r="O472" s="472"/>
      <c r="Z472" s="473"/>
      <c r="AC472" s="474"/>
      <c r="AH472" s="475"/>
      <c r="AI472" s="476"/>
      <c r="AJ472" s="475"/>
      <c r="AP472" s="476"/>
      <c r="AT472" s="477"/>
      <c r="AU472" s="477"/>
      <c r="AV472" s="470"/>
      <c r="AX472" s="478"/>
    </row>
    <row r="473" ht="15.75" customHeight="1">
      <c r="C473" s="470"/>
      <c r="E473" s="471"/>
      <c r="O473" s="472"/>
      <c r="Z473" s="473"/>
      <c r="AC473" s="474"/>
      <c r="AH473" s="475"/>
      <c r="AI473" s="476"/>
      <c r="AJ473" s="475"/>
      <c r="AP473" s="476"/>
      <c r="AT473" s="477"/>
      <c r="AU473" s="477"/>
      <c r="AV473" s="470"/>
      <c r="AX473" s="478"/>
    </row>
    <row r="474" ht="15.75" customHeight="1">
      <c r="C474" s="470"/>
      <c r="E474" s="471"/>
      <c r="O474" s="472"/>
      <c r="Z474" s="473"/>
      <c r="AC474" s="474"/>
      <c r="AH474" s="475"/>
      <c r="AI474" s="476"/>
      <c r="AJ474" s="475"/>
      <c r="AP474" s="476"/>
      <c r="AT474" s="477"/>
      <c r="AU474" s="477"/>
      <c r="AV474" s="470"/>
      <c r="AX474" s="478"/>
    </row>
    <row r="475" ht="15.75" customHeight="1">
      <c r="C475" s="470"/>
      <c r="E475" s="471"/>
      <c r="O475" s="472"/>
      <c r="Z475" s="473"/>
      <c r="AC475" s="474"/>
      <c r="AH475" s="475"/>
      <c r="AI475" s="476"/>
      <c r="AJ475" s="475"/>
      <c r="AP475" s="476"/>
      <c r="AT475" s="477"/>
      <c r="AU475" s="477"/>
      <c r="AV475" s="470"/>
      <c r="AX475" s="478"/>
    </row>
    <row r="476" ht="15.75" customHeight="1">
      <c r="C476" s="470"/>
      <c r="E476" s="471"/>
      <c r="O476" s="472"/>
      <c r="Z476" s="473"/>
      <c r="AC476" s="474"/>
      <c r="AH476" s="475"/>
      <c r="AI476" s="476"/>
      <c r="AJ476" s="475"/>
      <c r="AP476" s="476"/>
      <c r="AT476" s="477"/>
      <c r="AU476" s="477"/>
      <c r="AV476" s="470"/>
      <c r="AX476" s="478"/>
    </row>
    <row r="477" ht="15.75" customHeight="1">
      <c r="C477" s="470"/>
      <c r="E477" s="471"/>
      <c r="O477" s="472"/>
      <c r="Z477" s="473"/>
      <c r="AC477" s="474"/>
      <c r="AH477" s="475"/>
      <c r="AI477" s="476"/>
      <c r="AJ477" s="475"/>
      <c r="AP477" s="476"/>
      <c r="AT477" s="477"/>
      <c r="AU477" s="477"/>
      <c r="AV477" s="470"/>
      <c r="AX477" s="478"/>
    </row>
    <row r="478" ht="15.75" customHeight="1">
      <c r="C478" s="470"/>
      <c r="E478" s="471"/>
      <c r="O478" s="472"/>
      <c r="Z478" s="473"/>
      <c r="AC478" s="474"/>
      <c r="AH478" s="475"/>
      <c r="AI478" s="476"/>
      <c r="AJ478" s="475"/>
      <c r="AP478" s="476"/>
      <c r="AT478" s="477"/>
      <c r="AU478" s="477"/>
      <c r="AV478" s="470"/>
      <c r="AX478" s="478"/>
    </row>
    <row r="479" ht="15.75" customHeight="1">
      <c r="C479" s="470"/>
      <c r="E479" s="471"/>
      <c r="O479" s="472"/>
      <c r="Z479" s="473"/>
      <c r="AC479" s="474"/>
      <c r="AH479" s="475"/>
      <c r="AI479" s="476"/>
      <c r="AJ479" s="475"/>
      <c r="AP479" s="476"/>
      <c r="AT479" s="477"/>
      <c r="AU479" s="477"/>
      <c r="AV479" s="470"/>
      <c r="AX479" s="478"/>
    </row>
    <row r="480" ht="15.75" customHeight="1">
      <c r="C480" s="470"/>
      <c r="E480" s="471"/>
      <c r="O480" s="472"/>
      <c r="Z480" s="473"/>
      <c r="AC480" s="474"/>
      <c r="AH480" s="475"/>
      <c r="AI480" s="476"/>
      <c r="AJ480" s="475"/>
      <c r="AP480" s="476"/>
      <c r="AT480" s="477"/>
      <c r="AU480" s="477"/>
      <c r="AV480" s="470"/>
      <c r="AX480" s="478"/>
    </row>
    <row r="481" ht="15.75" customHeight="1">
      <c r="C481" s="470"/>
      <c r="E481" s="471"/>
      <c r="O481" s="472"/>
      <c r="Z481" s="473"/>
      <c r="AC481" s="474"/>
      <c r="AH481" s="475"/>
      <c r="AI481" s="476"/>
      <c r="AJ481" s="475"/>
      <c r="AP481" s="476"/>
      <c r="AT481" s="477"/>
      <c r="AU481" s="477"/>
      <c r="AV481" s="470"/>
      <c r="AX481" s="478"/>
    </row>
    <row r="482" ht="15.75" customHeight="1">
      <c r="C482" s="470"/>
      <c r="E482" s="471"/>
      <c r="O482" s="472"/>
      <c r="Z482" s="473"/>
      <c r="AC482" s="474"/>
      <c r="AH482" s="475"/>
      <c r="AI482" s="476"/>
      <c r="AJ482" s="475"/>
      <c r="AP482" s="476"/>
      <c r="AT482" s="477"/>
      <c r="AU482" s="477"/>
      <c r="AV482" s="470"/>
      <c r="AX482" s="478"/>
    </row>
    <row r="483" ht="15.75" customHeight="1">
      <c r="C483" s="470"/>
      <c r="E483" s="471"/>
      <c r="O483" s="472"/>
      <c r="Z483" s="473"/>
      <c r="AC483" s="474"/>
      <c r="AH483" s="475"/>
      <c r="AI483" s="476"/>
      <c r="AJ483" s="475"/>
      <c r="AP483" s="476"/>
      <c r="AT483" s="477"/>
      <c r="AU483" s="477"/>
      <c r="AV483" s="470"/>
      <c r="AX483" s="478"/>
    </row>
    <row r="484" ht="15.75" customHeight="1">
      <c r="C484" s="470"/>
      <c r="E484" s="471"/>
      <c r="O484" s="472"/>
      <c r="Z484" s="473"/>
      <c r="AC484" s="474"/>
      <c r="AH484" s="475"/>
      <c r="AI484" s="476"/>
      <c r="AJ484" s="475"/>
      <c r="AP484" s="476"/>
      <c r="AT484" s="477"/>
      <c r="AU484" s="477"/>
      <c r="AV484" s="470"/>
      <c r="AX484" s="478"/>
    </row>
    <row r="485" ht="15.75" customHeight="1">
      <c r="C485" s="470"/>
      <c r="E485" s="471"/>
      <c r="O485" s="472"/>
      <c r="Z485" s="473"/>
      <c r="AC485" s="474"/>
      <c r="AH485" s="475"/>
      <c r="AI485" s="476"/>
      <c r="AJ485" s="475"/>
      <c r="AP485" s="476"/>
      <c r="AT485" s="477"/>
      <c r="AU485" s="477"/>
      <c r="AV485" s="470"/>
      <c r="AX485" s="478"/>
    </row>
    <row r="486" ht="15.75" customHeight="1">
      <c r="C486" s="470"/>
      <c r="E486" s="471"/>
      <c r="O486" s="472"/>
      <c r="Z486" s="473"/>
      <c r="AC486" s="474"/>
      <c r="AH486" s="475"/>
      <c r="AI486" s="476"/>
      <c r="AJ486" s="475"/>
      <c r="AP486" s="476"/>
      <c r="AT486" s="477"/>
      <c r="AU486" s="477"/>
      <c r="AV486" s="470"/>
      <c r="AX486" s="478"/>
    </row>
    <row r="487" ht="15.75" customHeight="1">
      <c r="C487" s="470"/>
      <c r="E487" s="471"/>
      <c r="O487" s="472"/>
      <c r="Z487" s="473"/>
      <c r="AC487" s="474"/>
      <c r="AH487" s="475"/>
      <c r="AI487" s="476"/>
      <c r="AJ487" s="475"/>
      <c r="AP487" s="476"/>
      <c r="AT487" s="477"/>
      <c r="AU487" s="477"/>
      <c r="AV487" s="470"/>
      <c r="AX487" s="478"/>
    </row>
    <row r="488" ht="15.75" customHeight="1">
      <c r="C488" s="470"/>
      <c r="E488" s="471"/>
      <c r="O488" s="472"/>
      <c r="Z488" s="473"/>
      <c r="AC488" s="474"/>
      <c r="AH488" s="475"/>
      <c r="AI488" s="476"/>
      <c r="AJ488" s="475"/>
      <c r="AP488" s="476"/>
      <c r="AT488" s="477"/>
      <c r="AU488" s="477"/>
      <c r="AV488" s="470"/>
      <c r="AX488" s="478"/>
    </row>
    <row r="489" ht="15.75" customHeight="1">
      <c r="C489" s="470"/>
      <c r="E489" s="471"/>
      <c r="O489" s="472"/>
      <c r="Z489" s="473"/>
      <c r="AC489" s="474"/>
      <c r="AH489" s="475"/>
      <c r="AI489" s="476"/>
      <c r="AJ489" s="475"/>
      <c r="AP489" s="476"/>
      <c r="AT489" s="477"/>
      <c r="AU489" s="477"/>
      <c r="AV489" s="470"/>
      <c r="AX489" s="478"/>
    </row>
    <row r="490" ht="15.75" customHeight="1">
      <c r="C490" s="470"/>
      <c r="E490" s="471"/>
      <c r="O490" s="472"/>
      <c r="Z490" s="473"/>
      <c r="AC490" s="474"/>
      <c r="AH490" s="475"/>
      <c r="AI490" s="476"/>
      <c r="AJ490" s="475"/>
      <c r="AP490" s="476"/>
      <c r="AT490" s="477"/>
      <c r="AU490" s="477"/>
      <c r="AV490" s="470"/>
      <c r="AX490" s="478"/>
    </row>
    <row r="491" ht="15.75" customHeight="1">
      <c r="C491" s="470"/>
      <c r="E491" s="471"/>
      <c r="O491" s="472"/>
      <c r="Z491" s="473"/>
      <c r="AC491" s="474"/>
      <c r="AH491" s="475"/>
      <c r="AI491" s="476"/>
      <c r="AJ491" s="475"/>
      <c r="AP491" s="476"/>
      <c r="AT491" s="477"/>
      <c r="AU491" s="477"/>
      <c r="AV491" s="470"/>
      <c r="AX491" s="478"/>
    </row>
    <row r="492" ht="15.75" customHeight="1">
      <c r="C492" s="470"/>
      <c r="E492" s="471"/>
      <c r="O492" s="472"/>
      <c r="Z492" s="473"/>
      <c r="AC492" s="474"/>
      <c r="AH492" s="475"/>
      <c r="AI492" s="476"/>
      <c r="AJ492" s="475"/>
      <c r="AP492" s="476"/>
      <c r="AT492" s="477"/>
      <c r="AU492" s="477"/>
      <c r="AV492" s="470"/>
      <c r="AX492" s="478"/>
    </row>
    <row r="493" ht="15.75" customHeight="1">
      <c r="C493" s="470"/>
      <c r="E493" s="471"/>
      <c r="O493" s="472"/>
      <c r="Z493" s="473"/>
      <c r="AC493" s="474"/>
      <c r="AH493" s="475"/>
      <c r="AI493" s="476"/>
      <c r="AJ493" s="475"/>
      <c r="AP493" s="476"/>
      <c r="AT493" s="477"/>
      <c r="AU493" s="477"/>
      <c r="AV493" s="470"/>
      <c r="AX493" s="478"/>
    </row>
    <row r="494" ht="15.75" customHeight="1">
      <c r="C494" s="470"/>
      <c r="E494" s="471"/>
      <c r="O494" s="472"/>
      <c r="Z494" s="473"/>
      <c r="AC494" s="474"/>
      <c r="AH494" s="475"/>
      <c r="AI494" s="476"/>
      <c r="AJ494" s="475"/>
      <c r="AP494" s="476"/>
      <c r="AT494" s="477"/>
      <c r="AU494" s="477"/>
      <c r="AV494" s="470"/>
      <c r="AX494" s="478"/>
    </row>
    <row r="495" ht="15.75" customHeight="1">
      <c r="C495" s="470"/>
      <c r="E495" s="471"/>
      <c r="O495" s="472"/>
      <c r="Z495" s="473"/>
      <c r="AC495" s="474"/>
      <c r="AH495" s="475"/>
      <c r="AI495" s="476"/>
      <c r="AJ495" s="475"/>
      <c r="AP495" s="476"/>
      <c r="AT495" s="477"/>
      <c r="AU495" s="477"/>
      <c r="AV495" s="470"/>
      <c r="AX495" s="478"/>
    </row>
    <row r="496" ht="15.75" customHeight="1">
      <c r="C496" s="470"/>
      <c r="E496" s="471"/>
      <c r="O496" s="472"/>
      <c r="Z496" s="473"/>
      <c r="AC496" s="474"/>
      <c r="AH496" s="475"/>
      <c r="AI496" s="476"/>
      <c r="AJ496" s="475"/>
      <c r="AP496" s="476"/>
      <c r="AT496" s="477"/>
      <c r="AU496" s="477"/>
      <c r="AV496" s="470"/>
      <c r="AX496" s="478"/>
    </row>
    <row r="497" ht="15.75" customHeight="1">
      <c r="C497" s="470"/>
      <c r="E497" s="471"/>
      <c r="O497" s="472"/>
      <c r="Z497" s="473"/>
      <c r="AC497" s="474"/>
      <c r="AH497" s="475"/>
      <c r="AI497" s="476"/>
      <c r="AJ497" s="475"/>
      <c r="AP497" s="476"/>
      <c r="AT497" s="477"/>
      <c r="AU497" s="477"/>
      <c r="AV497" s="470"/>
      <c r="AX497" s="478"/>
    </row>
    <row r="498" ht="15.75" customHeight="1">
      <c r="C498" s="470"/>
      <c r="E498" s="471"/>
      <c r="O498" s="472"/>
      <c r="Z498" s="473"/>
      <c r="AC498" s="474"/>
      <c r="AH498" s="475"/>
      <c r="AI498" s="476"/>
      <c r="AJ498" s="475"/>
      <c r="AP498" s="476"/>
      <c r="AT498" s="477"/>
      <c r="AU498" s="477"/>
      <c r="AV498" s="470"/>
      <c r="AX498" s="478"/>
    </row>
    <row r="499" ht="15.75" customHeight="1">
      <c r="C499" s="470"/>
      <c r="E499" s="471"/>
      <c r="O499" s="472"/>
      <c r="Z499" s="473"/>
      <c r="AC499" s="474"/>
      <c r="AH499" s="475"/>
      <c r="AI499" s="476"/>
      <c r="AJ499" s="475"/>
      <c r="AP499" s="476"/>
      <c r="AT499" s="477"/>
      <c r="AU499" s="477"/>
      <c r="AV499" s="470"/>
      <c r="AX499" s="478"/>
    </row>
    <row r="500" ht="15.75" customHeight="1">
      <c r="C500" s="470"/>
      <c r="E500" s="471"/>
      <c r="O500" s="472"/>
      <c r="Z500" s="473"/>
      <c r="AC500" s="474"/>
      <c r="AH500" s="475"/>
      <c r="AI500" s="476"/>
      <c r="AJ500" s="475"/>
      <c r="AP500" s="476"/>
      <c r="AT500" s="477"/>
      <c r="AU500" s="477"/>
      <c r="AV500" s="470"/>
      <c r="AX500" s="478"/>
    </row>
    <row r="501" ht="15.75" customHeight="1">
      <c r="C501" s="470"/>
      <c r="E501" s="471"/>
      <c r="O501" s="472"/>
      <c r="Z501" s="473"/>
      <c r="AC501" s="474"/>
      <c r="AH501" s="475"/>
      <c r="AI501" s="476"/>
      <c r="AJ501" s="475"/>
      <c r="AP501" s="476"/>
      <c r="AT501" s="477"/>
      <c r="AU501" s="477"/>
      <c r="AV501" s="470"/>
      <c r="AX501" s="478"/>
    </row>
    <row r="502" ht="15.75" customHeight="1">
      <c r="C502" s="470"/>
      <c r="E502" s="471"/>
      <c r="O502" s="472"/>
      <c r="Z502" s="473"/>
      <c r="AC502" s="474"/>
      <c r="AH502" s="475"/>
      <c r="AI502" s="476"/>
      <c r="AJ502" s="475"/>
      <c r="AP502" s="476"/>
      <c r="AT502" s="477"/>
      <c r="AU502" s="477"/>
      <c r="AV502" s="470"/>
      <c r="AX502" s="478"/>
    </row>
    <row r="503" ht="15.75" customHeight="1">
      <c r="C503" s="470"/>
      <c r="E503" s="471"/>
      <c r="O503" s="472"/>
      <c r="Z503" s="473"/>
      <c r="AC503" s="474"/>
      <c r="AH503" s="475"/>
      <c r="AI503" s="476"/>
      <c r="AJ503" s="475"/>
      <c r="AP503" s="476"/>
      <c r="AT503" s="477"/>
      <c r="AU503" s="477"/>
      <c r="AV503" s="470"/>
      <c r="AX503" s="478"/>
    </row>
    <row r="504" ht="15.75" customHeight="1">
      <c r="C504" s="470"/>
      <c r="E504" s="471"/>
      <c r="O504" s="472"/>
      <c r="Z504" s="473"/>
      <c r="AC504" s="474"/>
      <c r="AH504" s="475"/>
      <c r="AI504" s="476"/>
      <c r="AJ504" s="475"/>
      <c r="AP504" s="476"/>
      <c r="AT504" s="477"/>
      <c r="AU504" s="477"/>
      <c r="AV504" s="470"/>
      <c r="AX504" s="478"/>
    </row>
    <row r="505" ht="15.75" customHeight="1">
      <c r="C505" s="470"/>
      <c r="E505" s="471"/>
      <c r="O505" s="472"/>
      <c r="Z505" s="473"/>
      <c r="AC505" s="474"/>
      <c r="AH505" s="475"/>
      <c r="AI505" s="476"/>
      <c r="AJ505" s="475"/>
      <c r="AP505" s="476"/>
      <c r="AT505" s="477"/>
      <c r="AU505" s="477"/>
      <c r="AV505" s="470"/>
      <c r="AX505" s="478"/>
    </row>
    <row r="506" ht="15.75" customHeight="1">
      <c r="C506" s="470"/>
      <c r="E506" s="471"/>
      <c r="O506" s="472"/>
      <c r="Z506" s="473"/>
      <c r="AC506" s="474"/>
      <c r="AH506" s="475"/>
      <c r="AI506" s="476"/>
      <c r="AJ506" s="475"/>
      <c r="AP506" s="476"/>
      <c r="AT506" s="477"/>
      <c r="AU506" s="477"/>
      <c r="AV506" s="470"/>
      <c r="AX506" s="478"/>
    </row>
    <row r="507" ht="15.75" customHeight="1">
      <c r="C507" s="470"/>
      <c r="E507" s="471"/>
      <c r="O507" s="472"/>
      <c r="Z507" s="473"/>
      <c r="AC507" s="474"/>
      <c r="AH507" s="475"/>
      <c r="AI507" s="476"/>
      <c r="AJ507" s="475"/>
      <c r="AP507" s="476"/>
      <c r="AT507" s="477"/>
      <c r="AU507" s="477"/>
      <c r="AV507" s="470"/>
      <c r="AX507" s="478"/>
    </row>
    <row r="508" ht="15.75" customHeight="1">
      <c r="C508" s="470"/>
      <c r="E508" s="471"/>
      <c r="O508" s="472"/>
      <c r="Z508" s="473"/>
      <c r="AC508" s="474"/>
      <c r="AH508" s="475"/>
      <c r="AI508" s="476"/>
      <c r="AJ508" s="475"/>
      <c r="AP508" s="476"/>
      <c r="AT508" s="477"/>
      <c r="AU508" s="477"/>
      <c r="AV508" s="470"/>
      <c r="AX508" s="478"/>
    </row>
    <row r="509" ht="15.75" customHeight="1">
      <c r="C509" s="470"/>
      <c r="E509" s="471"/>
      <c r="O509" s="472"/>
      <c r="Z509" s="473"/>
      <c r="AC509" s="474"/>
      <c r="AH509" s="475"/>
      <c r="AI509" s="476"/>
      <c r="AJ509" s="475"/>
      <c r="AP509" s="476"/>
      <c r="AT509" s="477"/>
      <c r="AU509" s="477"/>
      <c r="AV509" s="470"/>
      <c r="AX509" s="478"/>
    </row>
    <row r="510" ht="15.75" customHeight="1">
      <c r="C510" s="470"/>
      <c r="E510" s="471"/>
      <c r="O510" s="472"/>
      <c r="Z510" s="473"/>
      <c r="AC510" s="474"/>
      <c r="AH510" s="475"/>
      <c r="AI510" s="476"/>
      <c r="AJ510" s="475"/>
      <c r="AP510" s="476"/>
      <c r="AT510" s="477"/>
      <c r="AU510" s="477"/>
      <c r="AV510" s="470"/>
      <c r="AX510" s="478"/>
    </row>
    <row r="511" ht="15.75" customHeight="1">
      <c r="C511" s="470"/>
      <c r="E511" s="471"/>
      <c r="O511" s="472"/>
      <c r="Z511" s="473"/>
      <c r="AC511" s="474"/>
      <c r="AH511" s="475"/>
      <c r="AI511" s="476"/>
      <c r="AJ511" s="475"/>
      <c r="AP511" s="476"/>
      <c r="AT511" s="477"/>
      <c r="AU511" s="477"/>
      <c r="AV511" s="470"/>
      <c r="AX511" s="478"/>
    </row>
    <row r="512" ht="15.75" customHeight="1">
      <c r="C512" s="470"/>
      <c r="E512" s="471"/>
      <c r="O512" s="472"/>
      <c r="Z512" s="473"/>
      <c r="AC512" s="474"/>
      <c r="AH512" s="475"/>
      <c r="AI512" s="476"/>
      <c r="AJ512" s="475"/>
      <c r="AP512" s="476"/>
      <c r="AT512" s="477"/>
      <c r="AU512" s="477"/>
      <c r="AV512" s="470"/>
      <c r="AX512" s="478"/>
    </row>
    <row r="513" ht="15.75" customHeight="1">
      <c r="C513" s="470"/>
      <c r="E513" s="471"/>
      <c r="O513" s="472"/>
      <c r="Z513" s="473"/>
      <c r="AC513" s="474"/>
      <c r="AH513" s="475"/>
      <c r="AI513" s="476"/>
      <c r="AJ513" s="475"/>
      <c r="AP513" s="476"/>
      <c r="AT513" s="477"/>
      <c r="AU513" s="477"/>
      <c r="AV513" s="470"/>
      <c r="AX513" s="478"/>
    </row>
    <row r="514" ht="15.75" customHeight="1">
      <c r="C514" s="470"/>
      <c r="E514" s="471"/>
      <c r="O514" s="472"/>
      <c r="Z514" s="473"/>
      <c r="AC514" s="474"/>
      <c r="AH514" s="475"/>
      <c r="AI514" s="476"/>
      <c r="AJ514" s="475"/>
      <c r="AP514" s="476"/>
      <c r="AT514" s="477"/>
      <c r="AU514" s="477"/>
      <c r="AV514" s="470"/>
      <c r="AX514" s="478"/>
    </row>
    <row r="515" ht="15.75" customHeight="1">
      <c r="C515" s="470"/>
      <c r="E515" s="471"/>
      <c r="O515" s="472"/>
      <c r="Z515" s="473"/>
      <c r="AC515" s="474"/>
      <c r="AH515" s="475"/>
      <c r="AI515" s="476"/>
      <c r="AJ515" s="475"/>
      <c r="AP515" s="476"/>
      <c r="AT515" s="477"/>
      <c r="AU515" s="477"/>
      <c r="AV515" s="470"/>
      <c r="AX515" s="478"/>
    </row>
    <row r="516" ht="15.75" customHeight="1">
      <c r="C516" s="470"/>
      <c r="E516" s="471"/>
      <c r="O516" s="472"/>
      <c r="Z516" s="473"/>
      <c r="AC516" s="474"/>
      <c r="AH516" s="475"/>
      <c r="AI516" s="476"/>
      <c r="AJ516" s="475"/>
      <c r="AP516" s="476"/>
      <c r="AT516" s="477"/>
      <c r="AU516" s="477"/>
      <c r="AV516" s="470"/>
      <c r="AX516" s="478"/>
    </row>
    <row r="517" ht="15.75" customHeight="1">
      <c r="C517" s="470"/>
      <c r="E517" s="471"/>
      <c r="O517" s="472"/>
      <c r="Z517" s="473"/>
      <c r="AC517" s="474"/>
      <c r="AH517" s="475"/>
      <c r="AI517" s="476"/>
      <c r="AJ517" s="475"/>
      <c r="AP517" s="476"/>
      <c r="AT517" s="477"/>
      <c r="AU517" s="477"/>
      <c r="AV517" s="470"/>
      <c r="AX517" s="478"/>
    </row>
    <row r="518" ht="15.75" customHeight="1">
      <c r="C518" s="470"/>
      <c r="E518" s="471"/>
      <c r="O518" s="472"/>
      <c r="Z518" s="473"/>
      <c r="AC518" s="474"/>
      <c r="AH518" s="475"/>
      <c r="AI518" s="476"/>
      <c r="AJ518" s="475"/>
      <c r="AP518" s="476"/>
      <c r="AT518" s="477"/>
      <c r="AU518" s="477"/>
      <c r="AV518" s="470"/>
      <c r="AX518" s="478"/>
    </row>
    <row r="519" ht="15.75" customHeight="1">
      <c r="C519" s="470"/>
      <c r="E519" s="471"/>
      <c r="O519" s="472"/>
      <c r="Z519" s="473"/>
      <c r="AC519" s="474"/>
      <c r="AH519" s="475"/>
      <c r="AI519" s="476"/>
      <c r="AJ519" s="475"/>
      <c r="AP519" s="476"/>
      <c r="AT519" s="477"/>
      <c r="AU519" s="477"/>
      <c r="AV519" s="470"/>
      <c r="AX519" s="478"/>
    </row>
    <row r="520" ht="15.75" customHeight="1">
      <c r="C520" s="470"/>
      <c r="E520" s="471"/>
      <c r="O520" s="472"/>
      <c r="Z520" s="473"/>
      <c r="AC520" s="474"/>
      <c r="AH520" s="475"/>
      <c r="AI520" s="476"/>
      <c r="AJ520" s="475"/>
      <c r="AP520" s="476"/>
      <c r="AT520" s="477"/>
      <c r="AU520" s="477"/>
      <c r="AV520" s="470"/>
      <c r="AX520" s="478"/>
    </row>
    <row r="521" ht="15.75" customHeight="1">
      <c r="C521" s="470"/>
      <c r="E521" s="471"/>
      <c r="O521" s="472"/>
      <c r="Z521" s="473"/>
      <c r="AC521" s="474"/>
      <c r="AH521" s="475"/>
      <c r="AI521" s="476"/>
      <c r="AJ521" s="475"/>
      <c r="AP521" s="476"/>
      <c r="AT521" s="477"/>
      <c r="AU521" s="477"/>
      <c r="AV521" s="470"/>
      <c r="AX521" s="478"/>
    </row>
    <row r="522" ht="15.75" customHeight="1">
      <c r="C522" s="470"/>
      <c r="E522" s="471"/>
      <c r="O522" s="472"/>
      <c r="Z522" s="473"/>
      <c r="AC522" s="474"/>
      <c r="AH522" s="475"/>
      <c r="AI522" s="476"/>
      <c r="AJ522" s="475"/>
      <c r="AP522" s="476"/>
      <c r="AT522" s="477"/>
      <c r="AU522" s="477"/>
      <c r="AV522" s="470"/>
      <c r="AX522" s="478"/>
    </row>
    <row r="523" ht="15.75" customHeight="1">
      <c r="C523" s="470"/>
      <c r="E523" s="471"/>
      <c r="O523" s="472"/>
      <c r="Z523" s="473"/>
      <c r="AC523" s="474"/>
      <c r="AH523" s="475"/>
      <c r="AI523" s="476"/>
      <c r="AJ523" s="475"/>
      <c r="AP523" s="476"/>
      <c r="AT523" s="477"/>
      <c r="AU523" s="477"/>
      <c r="AV523" s="470"/>
      <c r="AX523" s="478"/>
    </row>
    <row r="524" ht="15.75" customHeight="1">
      <c r="C524" s="470"/>
      <c r="E524" s="471"/>
      <c r="O524" s="472"/>
      <c r="Z524" s="473"/>
      <c r="AC524" s="474"/>
      <c r="AH524" s="475"/>
      <c r="AI524" s="476"/>
      <c r="AJ524" s="475"/>
      <c r="AP524" s="476"/>
      <c r="AT524" s="477"/>
      <c r="AU524" s="477"/>
      <c r="AV524" s="470"/>
      <c r="AX524" s="478"/>
    </row>
    <row r="525" ht="15.75" customHeight="1">
      <c r="C525" s="470"/>
      <c r="E525" s="471"/>
      <c r="O525" s="472"/>
      <c r="Z525" s="473"/>
      <c r="AC525" s="474"/>
      <c r="AH525" s="475"/>
      <c r="AI525" s="476"/>
      <c r="AJ525" s="475"/>
      <c r="AP525" s="476"/>
      <c r="AT525" s="477"/>
      <c r="AU525" s="477"/>
      <c r="AV525" s="470"/>
      <c r="AX525" s="478"/>
    </row>
    <row r="526" ht="15.75" customHeight="1">
      <c r="C526" s="470"/>
      <c r="E526" s="471"/>
      <c r="O526" s="472"/>
      <c r="Z526" s="473"/>
      <c r="AC526" s="474"/>
      <c r="AH526" s="475"/>
      <c r="AI526" s="476"/>
      <c r="AJ526" s="475"/>
      <c r="AP526" s="476"/>
      <c r="AT526" s="477"/>
      <c r="AU526" s="477"/>
      <c r="AV526" s="470"/>
      <c r="AX526" s="478"/>
    </row>
    <row r="527" ht="15.75" customHeight="1">
      <c r="C527" s="470"/>
      <c r="E527" s="471"/>
      <c r="O527" s="472"/>
      <c r="Z527" s="473"/>
      <c r="AC527" s="474"/>
      <c r="AH527" s="475"/>
      <c r="AI527" s="476"/>
      <c r="AJ527" s="475"/>
      <c r="AP527" s="476"/>
      <c r="AT527" s="477"/>
      <c r="AU527" s="477"/>
      <c r="AV527" s="470"/>
      <c r="AX527" s="478"/>
    </row>
    <row r="528" ht="15.75" customHeight="1">
      <c r="C528" s="470"/>
      <c r="E528" s="471"/>
      <c r="O528" s="472"/>
      <c r="Z528" s="473"/>
      <c r="AC528" s="474"/>
      <c r="AH528" s="475"/>
      <c r="AI528" s="476"/>
      <c r="AJ528" s="475"/>
      <c r="AP528" s="476"/>
      <c r="AT528" s="477"/>
      <c r="AU528" s="477"/>
      <c r="AV528" s="470"/>
      <c r="AX528" s="478"/>
    </row>
    <row r="529" ht="15.75" customHeight="1">
      <c r="C529" s="470"/>
      <c r="E529" s="471"/>
      <c r="O529" s="472"/>
      <c r="Z529" s="473"/>
      <c r="AC529" s="474"/>
      <c r="AH529" s="475"/>
      <c r="AI529" s="476"/>
      <c r="AJ529" s="475"/>
      <c r="AP529" s="476"/>
      <c r="AT529" s="477"/>
      <c r="AU529" s="477"/>
      <c r="AV529" s="470"/>
      <c r="AX529" s="478"/>
    </row>
    <row r="530" ht="15.75" customHeight="1">
      <c r="C530" s="470"/>
      <c r="E530" s="471"/>
      <c r="O530" s="472"/>
      <c r="Z530" s="473"/>
      <c r="AC530" s="474"/>
      <c r="AH530" s="475"/>
      <c r="AI530" s="476"/>
      <c r="AJ530" s="475"/>
      <c r="AP530" s="476"/>
      <c r="AT530" s="477"/>
      <c r="AU530" s="477"/>
      <c r="AV530" s="470"/>
      <c r="AX530" s="478"/>
    </row>
    <row r="531" ht="15.75" customHeight="1">
      <c r="C531" s="470"/>
      <c r="E531" s="471"/>
      <c r="O531" s="472"/>
      <c r="Z531" s="473"/>
      <c r="AC531" s="474"/>
      <c r="AH531" s="475"/>
      <c r="AI531" s="476"/>
      <c r="AJ531" s="475"/>
      <c r="AP531" s="476"/>
      <c r="AT531" s="477"/>
      <c r="AU531" s="477"/>
      <c r="AV531" s="470"/>
      <c r="AX531" s="478"/>
    </row>
    <row r="532" ht="15.75" customHeight="1">
      <c r="C532" s="470"/>
      <c r="E532" s="471"/>
      <c r="O532" s="472"/>
      <c r="Z532" s="473"/>
      <c r="AC532" s="474"/>
      <c r="AH532" s="475"/>
      <c r="AI532" s="476"/>
      <c r="AJ532" s="475"/>
      <c r="AP532" s="476"/>
      <c r="AT532" s="477"/>
      <c r="AU532" s="477"/>
      <c r="AV532" s="470"/>
      <c r="AX532" s="478"/>
    </row>
    <row r="533" ht="15.75" customHeight="1">
      <c r="C533" s="470"/>
      <c r="E533" s="471"/>
      <c r="O533" s="472"/>
      <c r="Z533" s="473"/>
      <c r="AC533" s="474"/>
      <c r="AH533" s="475"/>
      <c r="AI533" s="476"/>
      <c r="AJ533" s="475"/>
      <c r="AP533" s="476"/>
      <c r="AT533" s="477"/>
      <c r="AU533" s="477"/>
      <c r="AV533" s="470"/>
      <c r="AX533" s="478"/>
    </row>
    <row r="534" ht="15.75" customHeight="1">
      <c r="C534" s="470"/>
      <c r="E534" s="471"/>
      <c r="O534" s="472"/>
      <c r="Z534" s="473"/>
      <c r="AC534" s="474"/>
      <c r="AH534" s="475"/>
      <c r="AI534" s="476"/>
      <c r="AJ534" s="475"/>
      <c r="AP534" s="476"/>
      <c r="AT534" s="477"/>
      <c r="AU534" s="477"/>
      <c r="AV534" s="470"/>
      <c r="AX534" s="478"/>
    </row>
    <row r="535" ht="15.75" customHeight="1">
      <c r="C535" s="470"/>
      <c r="E535" s="471"/>
      <c r="O535" s="472"/>
      <c r="Z535" s="473"/>
      <c r="AC535" s="474"/>
      <c r="AH535" s="475"/>
      <c r="AI535" s="476"/>
      <c r="AJ535" s="475"/>
      <c r="AP535" s="476"/>
      <c r="AT535" s="477"/>
      <c r="AU535" s="477"/>
      <c r="AV535" s="470"/>
      <c r="AX535" s="478"/>
    </row>
    <row r="536" ht="15.75" customHeight="1">
      <c r="C536" s="470"/>
      <c r="E536" s="471"/>
      <c r="O536" s="472"/>
      <c r="Z536" s="473"/>
      <c r="AC536" s="474"/>
      <c r="AH536" s="475"/>
      <c r="AI536" s="476"/>
      <c r="AJ536" s="475"/>
      <c r="AP536" s="476"/>
      <c r="AT536" s="477"/>
      <c r="AU536" s="477"/>
      <c r="AV536" s="470"/>
      <c r="AX536" s="478"/>
    </row>
    <row r="537" ht="15.75" customHeight="1">
      <c r="C537" s="470"/>
      <c r="E537" s="471"/>
      <c r="O537" s="472"/>
      <c r="Z537" s="473"/>
      <c r="AC537" s="474"/>
      <c r="AH537" s="475"/>
      <c r="AI537" s="476"/>
      <c r="AJ537" s="475"/>
      <c r="AP537" s="476"/>
      <c r="AT537" s="477"/>
      <c r="AU537" s="477"/>
      <c r="AV537" s="470"/>
      <c r="AX537" s="478"/>
    </row>
    <row r="538" ht="15.75" customHeight="1">
      <c r="C538" s="470"/>
      <c r="E538" s="471"/>
      <c r="O538" s="472"/>
      <c r="Z538" s="473"/>
      <c r="AC538" s="474"/>
      <c r="AH538" s="475"/>
      <c r="AI538" s="476"/>
      <c r="AJ538" s="475"/>
      <c r="AP538" s="476"/>
      <c r="AT538" s="477"/>
      <c r="AU538" s="477"/>
      <c r="AV538" s="470"/>
      <c r="AX538" s="478"/>
    </row>
    <row r="539" ht="15.75" customHeight="1">
      <c r="C539" s="470"/>
      <c r="E539" s="471"/>
      <c r="O539" s="472"/>
      <c r="Z539" s="473"/>
      <c r="AC539" s="474"/>
      <c r="AH539" s="475"/>
      <c r="AI539" s="476"/>
      <c r="AJ539" s="475"/>
      <c r="AP539" s="476"/>
      <c r="AT539" s="477"/>
      <c r="AU539" s="477"/>
      <c r="AV539" s="470"/>
      <c r="AX539" s="478"/>
    </row>
    <row r="540" ht="15.75" customHeight="1">
      <c r="C540" s="470"/>
      <c r="E540" s="471"/>
      <c r="O540" s="472"/>
      <c r="Z540" s="473"/>
      <c r="AC540" s="474"/>
      <c r="AH540" s="475"/>
      <c r="AI540" s="476"/>
      <c r="AJ540" s="475"/>
      <c r="AP540" s="476"/>
      <c r="AT540" s="477"/>
      <c r="AU540" s="477"/>
      <c r="AV540" s="470"/>
      <c r="AX540" s="478"/>
    </row>
    <row r="541" ht="15.75" customHeight="1">
      <c r="C541" s="470"/>
      <c r="E541" s="471"/>
      <c r="O541" s="472"/>
      <c r="Z541" s="473"/>
      <c r="AC541" s="474"/>
      <c r="AH541" s="475"/>
      <c r="AI541" s="476"/>
      <c r="AJ541" s="475"/>
      <c r="AP541" s="476"/>
      <c r="AT541" s="477"/>
      <c r="AU541" s="477"/>
      <c r="AV541" s="470"/>
      <c r="AX541" s="478"/>
    </row>
    <row r="542" ht="15.75" customHeight="1">
      <c r="C542" s="470"/>
      <c r="E542" s="471"/>
      <c r="O542" s="472"/>
      <c r="Z542" s="473"/>
      <c r="AC542" s="474"/>
      <c r="AH542" s="475"/>
      <c r="AI542" s="476"/>
      <c r="AJ542" s="475"/>
      <c r="AP542" s="476"/>
      <c r="AT542" s="477"/>
      <c r="AU542" s="477"/>
      <c r="AV542" s="470"/>
      <c r="AX542" s="478"/>
    </row>
    <row r="543" ht="15.75" customHeight="1">
      <c r="C543" s="470"/>
      <c r="E543" s="471"/>
      <c r="O543" s="472"/>
      <c r="Z543" s="473"/>
      <c r="AC543" s="474"/>
      <c r="AH543" s="475"/>
      <c r="AI543" s="476"/>
      <c r="AJ543" s="475"/>
      <c r="AP543" s="476"/>
      <c r="AT543" s="477"/>
      <c r="AU543" s="477"/>
      <c r="AV543" s="470"/>
      <c r="AX543" s="478"/>
    </row>
    <row r="544" ht="15.75" customHeight="1">
      <c r="C544" s="470"/>
      <c r="E544" s="471"/>
      <c r="O544" s="472"/>
      <c r="Z544" s="473"/>
      <c r="AC544" s="474"/>
      <c r="AH544" s="475"/>
      <c r="AI544" s="476"/>
      <c r="AJ544" s="475"/>
      <c r="AP544" s="476"/>
      <c r="AT544" s="477"/>
      <c r="AU544" s="477"/>
      <c r="AV544" s="470"/>
      <c r="AX544" s="478"/>
    </row>
    <row r="545" ht="15.75" customHeight="1">
      <c r="C545" s="470"/>
      <c r="E545" s="471"/>
      <c r="O545" s="472"/>
      <c r="Z545" s="473"/>
      <c r="AC545" s="474"/>
      <c r="AH545" s="475"/>
      <c r="AI545" s="476"/>
      <c r="AJ545" s="475"/>
      <c r="AP545" s="476"/>
      <c r="AT545" s="477"/>
      <c r="AU545" s="477"/>
      <c r="AV545" s="470"/>
      <c r="AX545" s="478"/>
    </row>
    <row r="546" ht="15.75" customHeight="1">
      <c r="C546" s="470"/>
      <c r="E546" s="471"/>
      <c r="O546" s="472"/>
      <c r="Z546" s="473"/>
      <c r="AC546" s="474"/>
      <c r="AH546" s="475"/>
      <c r="AI546" s="476"/>
      <c r="AJ546" s="475"/>
      <c r="AP546" s="476"/>
      <c r="AT546" s="477"/>
      <c r="AU546" s="477"/>
      <c r="AV546" s="470"/>
      <c r="AX546" s="478"/>
    </row>
    <row r="547" ht="15.75" customHeight="1">
      <c r="C547" s="470"/>
      <c r="E547" s="471"/>
      <c r="O547" s="472"/>
      <c r="Z547" s="473"/>
      <c r="AC547" s="474"/>
      <c r="AH547" s="475"/>
      <c r="AI547" s="476"/>
      <c r="AJ547" s="475"/>
      <c r="AP547" s="476"/>
      <c r="AT547" s="477"/>
      <c r="AU547" s="477"/>
      <c r="AV547" s="470"/>
      <c r="AX547" s="478"/>
    </row>
    <row r="548" ht="15.75" customHeight="1">
      <c r="C548" s="470"/>
      <c r="E548" s="471"/>
      <c r="O548" s="472"/>
      <c r="Z548" s="473"/>
      <c r="AC548" s="474"/>
      <c r="AH548" s="475"/>
      <c r="AI548" s="476"/>
      <c r="AJ548" s="475"/>
      <c r="AP548" s="476"/>
      <c r="AT548" s="477"/>
      <c r="AU548" s="477"/>
      <c r="AV548" s="470"/>
      <c r="AX548" s="478"/>
    </row>
    <row r="549" ht="15.75" customHeight="1">
      <c r="C549" s="470"/>
      <c r="E549" s="471"/>
      <c r="O549" s="472"/>
      <c r="Z549" s="473"/>
      <c r="AC549" s="474"/>
      <c r="AH549" s="475"/>
      <c r="AI549" s="476"/>
      <c r="AJ549" s="475"/>
      <c r="AP549" s="476"/>
      <c r="AT549" s="477"/>
      <c r="AU549" s="477"/>
      <c r="AV549" s="470"/>
      <c r="AX549" s="478"/>
    </row>
    <row r="550" ht="15.75" customHeight="1">
      <c r="C550" s="470"/>
      <c r="E550" s="471"/>
      <c r="O550" s="472"/>
      <c r="Z550" s="473"/>
      <c r="AC550" s="474"/>
      <c r="AH550" s="475"/>
      <c r="AI550" s="476"/>
      <c r="AJ550" s="475"/>
      <c r="AP550" s="476"/>
      <c r="AT550" s="477"/>
      <c r="AU550" s="477"/>
      <c r="AV550" s="470"/>
      <c r="AX550" s="478"/>
    </row>
    <row r="551" ht="15.75" customHeight="1">
      <c r="C551" s="470"/>
      <c r="E551" s="471"/>
      <c r="O551" s="472"/>
      <c r="Z551" s="473"/>
      <c r="AC551" s="474"/>
      <c r="AH551" s="475"/>
      <c r="AI551" s="476"/>
      <c r="AJ551" s="475"/>
      <c r="AP551" s="476"/>
      <c r="AT551" s="477"/>
      <c r="AU551" s="477"/>
      <c r="AV551" s="470"/>
      <c r="AX551" s="478"/>
    </row>
    <row r="552" ht="15.75" customHeight="1">
      <c r="C552" s="470"/>
      <c r="E552" s="471"/>
      <c r="O552" s="472"/>
      <c r="Z552" s="473"/>
      <c r="AC552" s="474"/>
      <c r="AH552" s="475"/>
      <c r="AI552" s="476"/>
      <c r="AJ552" s="475"/>
      <c r="AP552" s="476"/>
      <c r="AT552" s="477"/>
      <c r="AU552" s="477"/>
      <c r="AV552" s="470"/>
      <c r="AX552" s="478"/>
    </row>
    <row r="553" ht="15.75" customHeight="1">
      <c r="C553" s="470"/>
      <c r="E553" s="471"/>
      <c r="O553" s="472"/>
      <c r="Z553" s="473"/>
      <c r="AC553" s="474"/>
      <c r="AH553" s="475"/>
      <c r="AI553" s="476"/>
      <c r="AJ553" s="475"/>
      <c r="AP553" s="476"/>
      <c r="AT553" s="477"/>
      <c r="AU553" s="477"/>
      <c r="AV553" s="470"/>
      <c r="AX553" s="478"/>
    </row>
    <row r="554" ht="15.75" customHeight="1">
      <c r="C554" s="470"/>
      <c r="E554" s="471"/>
      <c r="O554" s="472"/>
      <c r="Z554" s="473"/>
      <c r="AC554" s="474"/>
      <c r="AH554" s="475"/>
      <c r="AI554" s="476"/>
      <c r="AJ554" s="475"/>
      <c r="AP554" s="476"/>
      <c r="AT554" s="477"/>
      <c r="AU554" s="477"/>
      <c r="AV554" s="470"/>
      <c r="AX554" s="478"/>
    </row>
    <row r="555" ht="15.75" customHeight="1">
      <c r="C555" s="470"/>
      <c r="E555" s="471"/>
      <c r="O555" s="472"/>
      <c r="Z555" s="473"/>
      <c r="AC555" s="474"/>
      <c r="AH555" s="475"/>
      <c r="AI555" s="476"/>
      <c r="AJ555" s="475"/>
      <c r="AP555" s="476"/>
      <c r="AT555" s="477"/>
      <c r="AU555" s="477"/>
      <c r="AV555" s="470"/>
      <c r="AX555" s="478"/>
    </row>
    <row r="556" ht="15.75" customHeight="1">
      <c r="C556" s="470"/>
      <c r="E556" s="471"/>
      <c r="O556" s="472"/>
      <c r="Z556" s="473"/>
      <c r="AC556" s="474"/>
      <c r="AH556" s="475"/>
      <c r="AI556" s="476"/>
      <c r="AJ556" s="475"/>
      <c r="AP556" s="476"/>
      <c r="AT556" s="477"/>
      <c r="AU556" s="477"/>
      <c r="AV556" s="470"/>
      <c r="AX556" s="478"/>
    </row>
    <row r="557" ht="15.75" customHeight="1">
      <c r="C557" s="470"/>
      <c r="E557" s="471"/>
      <c r="O557" s="472"/>
      <c r="Z557" s="473"/>
      <c r="AC557" s="474"/>
      <c r="AH557" s="475"/>
      <c r="AI557" s="476"/>
      <c r="AJ557" s="475"/>
      <c r="AP557" s="476"/>
      <c r="AT557" s="477"/>
      <c r="AU557" s="477"/>
      <c r="AV557" s="470"/>
      <c r="AX557" s="478"/>
    </row>
    <row r="558" ht="15.75" customHeight="1">
      <c r="C558" s="470"/>
      <c r="E558" s="471"/>
      <c r="O558" s="472"/>
      <c r="Z558" s="473"/>
      <c r="AC558" s="474"/>
      <c r="AH558" s="475"/>
      <c r="AI558" s="476"/>
      <c r="AJ558" s="475"/>
      <c r="AP558" s="476"/>
      <c r="AT558" s="477"/>
      <c r="AU558" s="477"/>
      <c r="AV558" s="470"/>
      <c r="AX558" s="478"/>
    </row>
    <row r="559" ht="15.75" customHeight="1">
      <c r="C559" s="470"/>
      <c r="E559" s="471"/>
      <c r="O559" s="472"/>
      <c r="Z559" s="473"/>
      <c r="AC559" s="474"/>
      <c r="AH559" s="475"/>
      <c r="AI559" s="476"/>
      <c r="AJ559" s="475"/>
      <c r="AP559" s="476"/>
      <c r="AT559" s="477"/>
      <c r="AU559" s="477"/>
      <c r="AV559" s="470"/>
      <c r="AX559" s="478"/>
    </row>
    <row r="560" ht="15.75" customHeight="1">
      <c r="C560" s="470"/>
      <c r="E560" s="471"/>
      <c r="O560" s="472"/>
      <c r="Z560" s="473"/>
      <c r="AC560" s="474"/>
      <c r="AH560" s="475"/>
      <c r="AI560" s="476"/>
      <c r="AJ560" s="475"/>
      <c r="AP560" s="476"/>
      <c r="AT560" s="477"/>
      <c r="AU560" s="477"/>
      <c r="AV560" s="470"/>
      <c r="AX560" s="478"/>
    </row>
    <row r="561" ht="15.75" customHeight="1">
      <c r="C561" s="470"/>
      <c r="E561" s="471"/>
      <c r="O561" s="472"/>
      <c r="Z561" s="473"/>
      <c r="AC561" s="474"/>
      <c r="AH561" s="475"/>
      <c r="AI561" s="476"/>
      <c r="AJ561" s="475"/>
      <c r="AP561" s="476"/>
      <c r="AT561" s="477"/>
      <c r="AU561" s="477"/>
      <c r="AV561" s="470"/>
      <c r="AX561" s="478"/>
    </row>
    <row r="562" ht="15.75" customHeight="1">
      <c r="C562" s="470"/>
      <c r="E562" s="471"/>
      <c r="O562" s="472"/>
      <c r="Z562" s="473"/>
      <c r="AC562" s="474"/>
      <c r="AH562" s="475"/>
      <c r="AI562" s="476"/>
      <c r="AJ562" s="475"/>
      <c r="AP562" s="476"/>
      <c r="AT562" s="477"/>
      <c r="AU562" s="477"/>
      <c r="AV562" s="470"/>
      <c r="AX562" s="478"/>
    </row>
    <row r="563" ht="15.75" customHeight="1">
      <c r="C563" s="470"/>
      <c r="E563" s="471"/>
      <c r="O563" s="472"/>
      <c r="Z563" s="473"/>
      <c r="AC563" s="474"/>
      <c r="AH563" s="475"/>
      <c r="AI563" s="476"/>
      <c r="AJ563" s="475"/>
      <c r="AP563" s="476"/>
      <c r="AT563" s="477"/>
      <c r="AU563" s="477"/>
      <c r="AV563" s="470"/>
      <c r="AX563" s="478"/>
    </row>
    <row r="564" ht="15.75" customHeight="1">
      <c r="C564" s="470"/>
      <c r="E564" s="471"/>
      <c r="O564" s="472"/>
      <c r="Z564" s="473"/>
      <c r="AC564" s="474"/>
      <c r="AH564" s="475"/>
      <c r="AI564" s="476"/>
      <c r="AJ564" s="475"/>
      <c r="AP564" s="476"/>
      <c r="AT564" s="477"/>
      <c r="AU564" s="477"/>
      <c r="AV564" s="470"/>
      <c r="AX564" s="478"/>
    </row>
    <row r="565" ht="15.75" customHeight="1">
      <c r="C565" s="470"/>
      <c r="E565" s="471"/>
      <c r="O565" s="472"/>
      <c r="Z565" s="473"/>
      <c r="AC565" s="474"/>
      <c r="AH565" s="475"/>
      <c r="AI565" s="476"/>
      <c r="AJ565" s="475"/>
      <c r="AP565" s="476"/>
      <c r="AT565" s="477"/>
      <c r="AU565" s="477"/>
      <c r="AV565" s="470"/>
      <c r="AX565" s="478"/>
    </row>
    <row r="566" ht="15.75" customHeight="1">
      <c r="C566" s="470"/>
      <c r="E566" s="471"/>
      <c r="O566" s="472"/>
      <c r="Z566" s="473"/>
      <c r="AC566" s="474"/>
      <c r="AH566" s="475"/>
      <c r="AI566" s="476"/>
      <c r="AJ566" s="475"/>
      <c r="AP566" s="476"/>
      <c r="AT566" s="477"/>
      <c r="AU566" s="477"/>
      <c r="AV566" s="470"/>
      <c r="AX566" s="478"/>
    </row>
    <row r="567" ht="15.75" customHeight="1">
      <c r="C567" s="470"/>
      <c r="E567" s="471"/>
      <c r="O567" s="472"/>
      <c r="Z567" s="473"/>
      <c r="AC567" s="474"/>
      <c r="AH567" s="475"/>
      <c r="AI567" s="476"/>
      <c r="AJ567" s="475"/>
      <c r="AP567" s="476"/>
      <c r="AT567" s="477"/>
      <c r="AU567" s="477"/>
      <c r="AV567" s="470"/>
      <c r="AX567" s="478"/>
    </row>
    <row r="568" ht="15.75" customHeight="1">
      <c r="C568" s="470"/>
      <c r="E568" s="471"/>
      <c r="O568" s="472"/>
      <c r="Z568" s="473"/>
      <c r="AC568" s="474"/>
      <c r="AH568" s="475"/>
      <c r="AI568" s="476"/>
      <c r="AJ568" s="475"/>
      <c r="AP568" s="476"/>
      <c r="AT568" s="477"/>
      <c r="AU568" s="477"/>
      <c r="AV568" s="470"/>
      <c r="AX568" s="478"/>
    </row>
    <row r="569" ht="15.75" customHeight="1">
      <c r="C569" s="470"/>
      <c r="E569" s="471"/>
      <c r="O569" s="472"/>
      <c r="Z569" s="473"/>
      <c r="AC569" s="474"/>
      <c r="AH569" s="475"/>
      <c r="AI569" s="476"/>
      <c r="AJ569" s="475"/>
      <c r="AP569" s="476"/>
      <c r="AT569" s="477"/>
      <c r="AU569" s="477"/>
      <c r="AV569" s="470"/>
      <c r="AX569" s="478"/>
    </row>
    <row r="570" ht="15.75" customHeight="1">
      <c r="C570" s="470"/>
      <c r="E570" s="471"/>
      <c r="O570" s="472"/>
      <c r="Z570" s="473"/>
      <c r="AC570" s="474"/>
      <c r="AH570" s="475"/>
      <c r="AI570" s="476"/>
      <c r="AJ570" s="475"/>
      <c r="AP570" s="476"/>
      <c r="AT570" s="477"/>
      <c r="AU570" s="477"/>
      <c r="AV570" s="470"/>
      <c r="AX570" s="478"/>
    </row>
    <row r="571" ht="15.75" customHeight="1">
      <c r="C571" s="470"/>
      <c r="E571" s="471"/>
      <c r="O571" s="472"/>
      <c r="Z571" s="473"/>
      <c r="AC571" s="474"/>
      <c r="AH571" s="475"/>
      <c r="AI571" s="476"/>
      <c r="AJ571" s="475"/>
      <c r="AP571" s="476"/>
      <c r="AT571" s="477"/>
      <c r="AU571" s="477"/>
      <c r="AV571" s="470"/>
      <c r="AX571" s="478"/>
    </row>
    <row r="572" ht="15.75" customHeight="1">
      <c r="C572" s="470"/>
      <c r="E572" s="471"/>
      <c r="O572" s="472"/>
      <c r="Z572" s="473"/>
      <c r="AC572" s="474"/>
      <c r="AH572" s="475"/>
      <c r="AI572" s="476"/>
      <c r="AJ572" s="475"/>
      <c r="AP572" s="476"/>
      <c r="AT572" s="477"/>
      <c r="AU572" s="477"/>
      <c r="AV572" s="470"/>
      <c r="AX572" s="478"/>
    </row>
    <row r="573" ht="15.75" customHeight="1">
      <c r="C573" s="470"/>
      <c r="E573" s="471"/>
      <c r="O573" s="472"/>
      <c r="Z573" s="473"/>
      <c r="AC573" s="474"/>
      <c r="AH573" s="475"/>
      <c r="AI573" s="476"/>
      <c r="AJ573" s="475"/>
      <c r="AP573" s="476"/>
      <c r="AT573" s="477"/>
      <c r="AU573" s="477"/>
      <c r="AV573" s="470"/>
      <c r="AX573" s="478"/>
    </row>
    <row r="574" ht="15.75" customHeight="1">
      <c r="C574" s="470"/>
      <c r="E574" s="471"/>
      <c r="O574" s="472"/>
      <c r="Z574" s="473"/>
      <c r="AC574" s="474"/>
      <c r="AH574" s="475"/>
      <c r="AI574" s="476"/>
      <c r="AJ574" s="475"/>
      <c r="AP574" s="476"/>
      <c r="AT574" s="477"/>
      <c r="AU574" s="477"/>
      <c r="AV574" s="470"/>
      <c r="AX574" s="478"/>
    </row>
    <row r="575" ht="15.75" customHeight="1">
      <c r="C575" s="470"/>
      <c r="E575" s="471"/>
      <c r="O575" s="472"/>
      <c r="Z575" s="473"/>
      <c r="AC575" s="474"/>
      <c r="AH575" s="475"/>
      <c r="AI575" s="476"/>
      <c r="AJ575" s="475"/>
      <c r="AP575" s="476"/>
      <c r="AT575" s="477"/>
      <c r="AU575" s="477"/>
      <c r="AV575" s="470"/>
      <c r="AX575" s="478"/>
    </row>
    <row r="576" ht="15.75" customHeight="1">
      <c r="C576" s="470"/>
      <c r="E576" s="471"/>
      <c r="O576" s="472"/>
      <c r="Z576" s="473"/>
      <c r="AC576" s="474"/>
      <c r="AH576" s="475"/>
      <c r="AI576" s="476"/>
      <c r="AJ576" s="475"/>
      <c r="AP576" s="476"/>
      <c r="AT576" s="477"/>
      <c r="AU576" s="477"/>
      <c r="AV576" s="470"/>
      <c r="AX576" s="478"/>
    </row>
    <row r="577" ht="15.75" customHeight="1">
      <c r="C577" s="470"/>
      <c r="E577" s="471"/>
      <c r="O577" s="472"/>
      <c r="Z577" s="473"/>
      <c r="AC577" s="474"/>
      <c r="AH577" s="475"/>
      <c r="AI577" s="476"/>
      <c r="AJ577" s="475"/>
      <c r="AP577" s="476"/>
      <c r="AT577" s="477"/>
      <c r="AU577" s="477"/>
      <c r="AV577" s="470"/>
      <c r="AX577" s="478"/>
    </row>
    <row r="578" ht="15.75" customHeight="1">
      <c r="C578" s="470"/>
      <c r="E578" s="471"/>
      <c r="O578" s="472"/>
      <c r="Z578" s="473"/>
      <c r="AC578" s="474"/>
      <c r="AH578" s="475"/>
      <c r="AI578" s="476"/>
      <c r="AJ578" s="475"/>
      <c r="AP578" s="476"/>
      <c r="AT578" s="477"/>
      <c r="AU578" s="477"/>
      <c r="AV578" s="470"/>
      <c r="AX578" s="478"/>
    </row>
    <row r="579" ht="15.75" customHeight="1">
      <c r="C579" s="470"/>
      <c r="E579" s="471"/>
      <c r="O579" s="472"/>
      <c r="Z579" s="473"/>
      <c r="AC579" s="474"/>
      <c r="AH579" s="475"/>
      <c r="AI579" s="476"/>
      <c r="AJ579" s="475"/>
      <c r="AP579" s="476"/>
      <c r="AT579" s="477"/>
      <c r="AU579" s="477"/>
      <c r="AV579" s="470"/>
      <c r="AX579" s="478"/>
    </row>
    <row r="580" ht="15.75" customHeight="1">
      <c r="C580" s="470"/>
      <c r="E580" s="471"/>
      <c r="O580" s="472"/>
      <c r="Z580" s="473"/>
      <c r="AC580" s="474"/>
      <c r="AH580" s="475"/>
      <c r="AI580" s="476"/>
      <c r="AJ580" s="475"/>
      <c r="AP580" s="476"/>
      <c r="AT580" s="477"/>
      <c r="AU580" s="477"/>
      <c r="AV580" s="470"/>
      <c r="AX580" s="478"/>
    </row>
    <row r="581" ht="15.75" customHeight="1">
      <c r="C581" s="470"/>
      <c r="E581" s="471"/>
      <c r="O581" s="472"/>
      <c r="Z581" s="473"/>
      <c r="AC581" s="474"/>
      <c r="AH581" s="475"/>
      <c r="AI581" s="476"/>
      <c r="AJ581" s="475"/>
      <c r="AP581" s="476"/>
      <c r="AT581" s="477"/>
      <c r="AU581" s="477"/>
      <c r="AV581" s="470"/>
      <c r="AX581" s="478"/>
    </row>
    <row r="582" ht="15.75" customHeight="1">
      <c r="C582" s="470"/>
      <c r="E582" s="471"/>
      <c r="O582" s="472"/>
      <c r="Z582" s="473"/>
      <c r="AC582" s="474"/>
      <c r="AH582" s="475"/>
      <c r="AI582" s="476"/>
      <c r="AJ582" s="475"/>
      <c r="AP582" s="476"/>
      <c r="AT582" s="477"/>
      <c r="AU582" s="477"/>
      <c r="AV582" s="470"/>
      <c r="AX582" s="478"/>
    </row>
    <row r="583" ht="15.75" customHeight="1">
      <c r="C583" s="470"/>
      <c r="E583" s="471"/>
      <c r="O583" s="472"/>
      <c r="Z583" s="473"/>
      <c r="AC583" s="474"/>
      <c r="AH583" s="475"/>
      <c r="AI583" s="476"/>
      <c r="AJ583" s="475"/>
      <c r="AP583" s="476"/>
      <c r="AT583" s="477"/>
      <c r="AU583" s="477"/>
      <c r="AV583" s="470"/>
      <c r="AX583" s="478"/>
    </row>
    <row r="584" ht="15.75" customHeight="1">
      <c r="C584" s="470"/>
      <c r="E584" s="471"/>
      <c r="O584" s="472"/>
      <c r="Z584" s="473"/>
      <c r="AC584" s="474"/>
      <c r="AH584" s="475"/>
      <c r="AI584" s="476"/>
      <c r="AJ584" s="475"/>
      <c r="AP584" s="476"/>
      <c r="AT584" s="477"/>
      <c r="AU584" s="477"/>
      <c r="AV584" s="470"/>
      <c r="AX584" s="478"/>
    </row>
    <row r="585" ht="15.75" customHeight="1">
      <c r="C585" s="470"/>
      <c r="E585" s="471"/>
      <c r="O585" s="472"/>
      <c r="Z585" s="473"/>
      <c r="AC585" s="474"/>
      <c r="AH585" s="475"/>
      <c r="AI585" s="476"/>
      <c r="AJ585" s="475"/>
      <c r="AP585" s="476"/>
      <c r="AT585" s="477"/>
      <c r="AU585" s="477"/>
      <c r="AV585" s="470"/>
      <c r="AX585" s="478"/>
    </row>
    <row r="586" ht="15.75" customHeight="1">
      <c r="C586" s="470"/>
      <c r="E586" s="471"/>
      <c r="O586" s="472"/>
      <c r="Z586" s="473"/>
      <c r="AC586" s="474"/>
      <c r="AH586" s="475"/>
      <c r="AI586" s="476"/>
      <c r="AJ586" s="475"/>
      <c r="AP586" s="476"/>
      <c r="AT586" s="477"/>
      <c r="AU586" s="477"/>
      <c r="AV586" s="470"/>
      <c r="AX586" s="478"/>
    </row>
    <row r="587" ht="15.75" customHeight="1">
      <c r="C587" s="470"/>
      <c r="E587" s="471"/>
      <c r="O587" s="472"/>
      <c r="Z587" s="473"/>
      <c r="AC587" s="474"/>
      <c r="AH587" s="475"/>
      <c r="AI587" s="476"/>
      <c r="AJ587" s="475"/>
      <c r="AP587" s="476"/>
      <c r="AT587" s="477"/>
      <c r="AU587" s="477"/>
      <c r="AV587" s="470"/>
      <c r="AX587" s="478"/>
    </row>
    <row r="588" ht="15.75" customHeight="1">
      <c r="C588" s="470"/>
      <c r="E588" s="471"/>
      <c r="O588" s="472"/>
      <c r="Z588" s="473"/>
      <c r="AC588" s="474"/>
      <c r="AH588" s="475"/>
      <c r="AI588" s="476"/>
      <c r="AJ588" s="475"/>
      <c r="AP588" s="476"/>
      <c r="AT588" s="477"/>
      <c r="AU588" s="477"/>
      <c r="AV588" s="470"/>
      <c r="AX588" s="478"/>
    </row>
    <row r="589" ht="15.75" customHeight="1">
      <c r="C589" s="470"/>
      <c r="E589" s="471"/>
      <c r="O589" s="472"/>
      <c r="Z589" s="473"/>
      <c r="AC589" s="474"/>
      <c r="AH589" s="475"/>
      <c r="AI589" s="476"/>
      <c r="AJ589" s="475"/>
      <c r="AP589" s="476"/>
      <c r="AT589" s="477"/>
      <c r="AU589" s="477"/>
      <c r="AV589" s="470"/>
      <c r="AX589" s="478"/>
    </row>
    <row r="590" ht="15.75" customHeight="1">
      <c r="C590" s="470"/>
      <c r="E590" s="471"/>
      <c r="O590" s="472"/>
      <c r="Z590" s="473"/>
      <c r="AC590" s="474"/>
      <c r="AH590" s="475"/>
      <c r="AI590" s="476"/>
      <c r="AJ590" s="475"/>
      <c r="AP590" s="476"/>
      <c r="AT590" s="477"/>
      <c r="AU590" s="477"/>
      <c r="AV590" s="470"/>
      <c r="AX590" s="478"/>
    </row>
    <row r="591" ht="15.75" customHeight="1">
      <c r="C591" s="470"/>
      <c r="E591" s="471"/>
      <c r="O591" s="472"/>
      <c r="Z591" s="473"/>
      <c r="AC591" s="474"/>
      <c r="AH591" s="475"/>
      <c r="AI591" s="476"/>
      <c r="AJ591" s="475"/>
      <c r="AP591" s="476"/>
      <c r="AT591" s="477"/>
      <c r="AU591" s="477"/>
      <c r="AV591" s="470"/>
      <c r="AX591" s="478"/>
    </row>
    <row r="592" ht="15.75" customHeight="1">
      <c r="C592" s="470"/>
      <c r="E592" s="471"/>
      <c r="O592" s="472"/>
      <c r="Z592" s="473"/>
      <c r="AC592" s="474"/>
      <c r="AH592" s="475"/>
      <c r="AI592" s="476"/>
      <c r="AJ592" s="475"/>
      <c r="AP592" s="476"/>
      <c r="AT592" s="477"/>
      <c r="AU592" s="477"/>
      <c r="AV592" s="470"/>
      <c r="AX592" s="478"/>
    </row>
    <row r="593" ht="15.75" customHeight="1">
      <c r="C593" s="470"/>
      <c r="E593" s="471"/>
      <c r="O593" s="472"/>
      <c r="Z593" s="473"/>
      <c r="AC593" s="474"/>
      <c r="AH593" s="475"/>
      <c r="AI593" s="476"/>
      <c r="AJ593" s="475"/>
      <c r="AP593" s="476"/>
      <c r="AT593" s="477"/>
      <c r="AU593" s="477"/>
      <c r="AV593" s="470"/>
      <c r="AX593" s="478"/>
    </row>
    <row r="594" ht="15.75" customHeight="1">
      <c r="C594" s="470"/>
      <c r="E594" s="471"/>
      <c r="O594" s="472"/>
      <c r="Z594" s="473"/>
      <c r="AC594" s="474"/>
      <c r="AH594" s="475"/>
      <c r="AI594" s="476"/>
      <c r="AJ594" s="475"/>
      <c r="AP594" s="476"/>
      <c r="AT594" s="477"/>
      <c r="AU594" s="477"/>
      <c r="AV594" s="470"/>
      <c r="AX594" s="478"/>
    </row>
    <row r="595" ht="15.75" customHeight="1">
      <c r="C595" s="470"/>
      <c r="E595" s="471"/>
      <c r="O595" s="472"/>
      <c r="Z595" s="473"/>
      <c r="AC595" s="474"/>
      <c r="AH595" s="475"/>
      <c r="AI595" s="476"/>
      <c r="AJ595" s="475"/>
      <c r="AP595" s="476"/>
      <c r="AT595" s="477"/>
      <c r="AU595" s="477"/>
      <c r="AV595" s="470"/>
      <c r="AX595" s="478"/>
    </row>
    <row r="596" ht="15.75" customHeight="1">
      <c r="C596" s="470"/>
      <c r="E596" s="471"/>
      <c r="O596" s="472"/>
      <c r="Z596" s="473"/>
      <c r="AC596" s="474"/>
      <c r="AH596" s="475"/>
      <c r="AI596" s="476"/>
      <c r="AJ596" s="475"/>
      <c r="AP596" s="476"/>
      <c r="AT596" s="477"/>
      <c r="AU596" s="477"/>
      <c r="AV596" s="470"/>
      <c r="AX596" s="478"/>
    </row>
    <row r="597" ht="15.75" customHeight="1">
      <c r="C597" s="470"/>
      <c r="E597" s="471"/>
      <c r="O597" s="472"/>
      <c r="Z597" s="473"/>
      <c r="AC597" s="474"/>
      <c r="AH597" s="475"/>
      <c r="AI597" s="476"/>
      <c r="AJ597" s="475"/>
      <c r="AP597" s="476"/>
      <c r="AT597" s="477"/>
      <c r="AU597" s="477"/>
      <c r="AV597" s="470"/>
      <c r="AX597" s="478"/>
    </row>
    <row r="598" ht="15.75" customHeight="1">
      <c r="C598" s="470"/>
      <c r="E598" s="471"/>
      <c r="O598" s="472"/>
      <c r="Z598" s="473"/>
      <c r="AC598" s="474"/>
      <c r="AH598" s="475"/>
      <c r="AI598" s="476"/>
      <c r="AJ598" s="475"/>
      <c r="AP598" s="476"/>
      <c r="AT598" s="477"/>
      <c r="AU598" s="477"/>
      <c r="AV598" s="470"/>
      <c r="AX598" s="478"/>
    </row>
    <row r="599" ht="15.75" customHeight="1">
      <c r="C599" s="470"/>
      <c r="E599" s="471"/>
      <c r="O599" s="472"/>
      <c r="Z599" s="473"/>
      <c r="AC599" s="474"/>
      <c r="AH599" s="475"/>
      <c r="AI599" s="476"/>
      <c r="AJ599" s="475"/>
      <c r="AP599" s="476"/>
      <c r="AT599" s="477"/>
      <c r="AU599" s="477"/>
      <c r="AV599" s="470"/>
      <c r="AX599" s="478"/>
    </row>
    <row r="600" ht="15.75" customHeight="1">
      <c r="C600" s="470"/>
      <c r="E600" s="471"/>
      <c r="O600" s="472"/>
      <c r="Z600" s="473"/>
      <c r="AC600" s="474"/>
      <c r="AH600" s="475"/>
      <c r="AI600" s="476"/>
      <c r="AJ600" s="475"/>
      <c r="AP600" s="476"/>
      <c r="AT600" s="477"/>
      <c r="AU600" s="477"/>
      <c r="AV600" s="470"/>
      <c r="AX600" s="478"/>
    </row>
    <row r="601" ht="15.75" customHeight="1">
      <c r="C601" s="470"/>
      <c r="E601" s="471"/>
      <c r="O601" s="472"/>
      <c r="Z601" s="473"/>
      <c r="AC601" s="474"/>
      <c r="AH601" s="475"/>
      <c r="AI601" s="476"/>
      <c r="AJ601" s="475"/>
      <c r="AP601" s="476"/>
      <c r="AT601" s="477"/>
      <c r="AU601" s="477"/>
      <c r="AV601" s="470"/>
      <c r="AX601" s="478"/>
    </row>
    <row r="602" ht="15.75" customHeight="1">
      <c r="C602" s="470"/>
      <c r="E602" s="471"/>
      <c r="O602" s="472"/>
      <c r="Z602" s="473"/>
      <c r="AC602" s="474"/>
      <c r="AH602" s="475"/>
      <c r="AI602" s="476"/>
      <c r="AJ602" s="475"/>
      <c r="AP602" s="476"/>
      <c r="AT602" s="477"/>
      <c r="AU602" s="477"/>
      <c r="AV602" s="470"/>
      <c r="AX602" s="478"/>
    </row>
    <row r="603" ht="15.75" customHeight="1">
      <c r="C603" s="470"/>
      <c r="E603" s="471"/>
      <c r="O603" s="472"/>
      <c r="Z603" s="473"/>
      <c r="AC603" s="474"/>
      <c r="AH603" s="475"/>
      <c r="AI603" s="476"/>
      <c r="AJ603" s="475"/>
      <c r="AP603" s="476"/>
      <c r="AT603" s="477"/>
      <c r="AU603" s="477"/>
      <c r="AV603" s="470"/>
      <c r="AX603" s="478"/>
    </row>
    <row r="604" ht="15.75" customHeight="1">
      <c r="C604" s="470"/>
      <c r="E604" s="471"/>
      <c r="O604" s="472"/>
      <c r="Z604" s="473"/>
      <c r="AC604" s="474"/>
      <c r="AH604" s="475"/>
      <c r="AI604" s="476"/>
      <c r="AJ604" s="475"/>
      <c r="AP604" s="476"/>
      <c r="AT604" s="477"/>
      <c r="AU604" s="477"/>
      <c r="AV604" s="470"/>
      <c r="AX604" s="478"/>
    </row>
    <row r="605" ht="15.75" customHeight="1">
      <c r="C605" s="470"/>
      <c r="E605" s="471"/>
      <c r="O605" s="472"/>
      <c r="Z605" s="473"/>
      <c r="AC605" s="474"/>
      <c r="AH605" s="475"/>
      <c r="AI605" s="476"/>
      <c r="AJ605" s="475"/>
      <c r="AP605" s="476"/>
      <c r="AT605" s="477"/>
      <c r="AU605" s="477"/>
      <c r="AV605" s="470"/>
      <c r="AX605" s="478"/>
    </row>
    <row r="606" ht="15.75" customHeight="1">
      <c r="C606" s="470"/>
      <c r="E606" s="471"/>
      <c r="O606" s="472"/>
      <c r="Z606" s="473"/>
      <c r="AC606" s="474"/>
      <c r="AH606" s="475"/>
      <c r="AI606" s="476"/>
      <c r="AJ606" s="475"/>
      <c r="AP606" s="476"/>
      <c r="AT606" s="477"/>
      <c r="AU606" s="477"/>
      <c r="AV606" s="470"/>
      <c r="AX606" s="478"/>
    </row>
    <row r="607" ht="15.75" customHeight="1">
      <c r="C607" s="470"/>
      <c r="E607" s="471"/>
      <c r="O607" s="472"/>
      <c r="Z607" s="473"/>
      <c r="AC607" s="474"/>
      <c r="AH607" s="475"/>
      <c r="AI607" s="476"/>
      <c r="AJ607" s="475"/>
      <c r="AP607" s="476"/>
      <c r="AT607" s="477"/>
      <c r="AU607" s="477"/>
      <c r="AV607" s="470"/>
      <c r="AX607" s="478"/>
    </row>
    <row r="608" ht="15.75" customHeight="1">
      <c r="C608" s="470"/>
      <c r="E608" s="471"/>
      <c r="O608" s="472"/>
      <c r="Z608" s="473"/>
      <c r="AC608" s="474"/>
      <c r="AH608" s="475"/>
      <c r="AI608" s="476"/>
      <c r="AJ608" s="475"/>
      <c r="AP608" s="476"/>
      <c r="AT608" s="477"/>
      <c r="AU608" s="477"/>
      <c r="AV608" s="470"/>
      <c r="AX608" s="478"/>
    </row>
    <row r="609" ht="15.75" customHeight="1">
      <c r="C609" s="470"/>
      <c r="E609" s="471"/>
      <c r="O609" s="472"/>
      <c r="Z609" s="473"/>
      <c r="AC609" s="474"/>
      <c r="AH609" s="475"/>
      <c r="AI609" s="476"/>
      <c r="AJ609" s="475"/>
      <c r="AP609" s="476"/>
      <c r="AT609" s="477"/>
      <c r="AU609" s="477"/>
      <c r="AV609" s="470"/>
      <c r="AX609" s="478"/>
    </row>
    <row r="610" ht="15.75" customHeight="1">
      <c r="C610" s="470"/>
      <c r="E610" s="471"/>
      <c r="O610" s="472"/>
      <c r="Z610" s="473"/>
      <c r="AC610" s="474"/>
      <c r="AH610" s="475"/>
      <c r="AI610" s="476"/>
      <c r="AJ610" s="475"/>
      <c r="AP610" s="476"/>
      <c r="AT610" s="477"/>
      <c r="AU610" s="477"/>
      <c r="AV610" s="470"/>
      <c r="AX610" s="478"/>
    </row>
    <row r="611" ht="15.75" customHeight="1">
      <c r="C611" s="470"/>
      <c r="E611" s="471"/>
      <c r="O611" s="472"/>
      <c r="Z611" s="473"/>
      <c r="AC611" s="474"/>
      <c r="AH611" s="475"/>
      <c r="AI611" s="476"/>
      <c r="AJ611" s="475"/>
      <c r="AP611" s="476"/>
      <c r="AT611" s="477"/>
      <c r="AU611" s="477"/>
      <c r="AV611" s="470"/>
      <c r="AX611" s="478"/>
    </row>
    <row r="612" ht="15.75" customHeight="1">
      <c r="C612" s="470"/>
      <c r="E612" s="471"/>
      <c r="O612" s="472"/>
      <c r="Z612" s="473"/>
      <c r="AC612" s="474"/>
      <c r="AH612" s="475"/>
      <c r="AI612" s="476"/>
      <c r="AJ612" s="475"/>
      <c r="AP612" s="476"/>
      <c r="AT612" s="477"/>
      <c r="AU612" s="477"/>
      <c r="AV612" s="470"/>
      <c r="AX612" s="478"/>
    </row>
    <row r="613" ht="15.75" customHeight="1">
      <c r="C613" s="470"/>
      <c r="E613" s="471"/>
      <c r="O613" s="472"/>
      <c r="Z613" s="473"/>
      <c r="AC613" s="474"/>
      <c r="AH613" s="475"/>
      <c r="AI613" s="476"/>
      <c r="AJ613" s="475"/>
      <c r="AP613" s="476"/>
      <c r="AT613" s="477"/>
      <c r="AU613" s="477"/>
      <c r="AV613" s="470"/>
      <c r="AX613" s="478"/>
    </row>
    <row r="614" ht="15.75" customHeight="1">
      <c r="C614" s="470"/>
      <c r="E614" s="471"/>
      <c r="O614" s="472"/>
      <c r="Z614" s="473"/>
      <c r="AC614" s="474"/>
      <c r="AH614" s="475"/>
      <c r="AI614" s="476"/>
      <c r="AJ614" s="475"/>
      <c r="AP614" s="476"/>
      <c r="AT614" s="477"/>
      <c r="AU614" s="477"/>
      <c r="AV614" s="470"/>
      <c r="AX614" s="478"/>
    </row>
    <row r="615" ht="15.75" customHeight="1">
      <c r="C615" s="470"/>
      <c r="E615" s="471"/>
      <c r="O615" s="472"/>
      <c r="Z615" s="473"/>
      <c r="AC615" s="474"/>
      <c r="AH615" s="475"/>
      <c r="AI615" s="476"/>
      <c r="AJ615" s="475"/>
      <c r="AP615" s="476"/>
      <c r="AT615" s="477"/>
      <c r="AU615" s="477"/>
      <c r="AV615" s="470"/>
      <c r="AX615" s="478"/>
    </row>
    <row r="616" ht="15.75" customHeight="1">
      <c r="C616" s="470"/>
      <c r="E616" s="471"/>
      <c r="O616" s="472"/>
      <c r="Z616" s="473"/>
      <c r="AC616" s="474"/>
      <c r="AH616" s="475"/>
      <c r="AI616" s="476"/>
      <c r="AJ616" s="475"/>
      <c r="AP616" s="476"/>
      <c r="AT616" s="477"/>
      <c r="AU616" s="477"/>
      <c r="AV616" s="470"/>
      <c r="AX616" s="478"/>
    </row>
    <row r="617" ht="15.75" customHeight="1">
      <c r="C617" s="470"/>
      <c r="E617" s="471"/>
      <c r="O617" s="472"/>
      <c r="Z617" s="473"/>
      <c r="AC617" s="474"/>
      <c r="AH617" s="475"/>
      <c r="AI617" s="476"/>
      <c r="AJ617" s="475"/>
      <c r="AP617" s="476"/>
      <c r="AT617" s="477"/>
      <c r="AU617" s="477"/>
      <c r="AV617" s="470"/>
      <c r="AX617" s="478"/>
    </row>
    <row r="618" ht="15.75" customHeight="1">
      <c r="C618" s="470"/>
      <c r="E618" s="471"/>
      <c r="O618" s="472"/>
      <c r="Z618" s="473"/>
      <c r="AC618" s="474"/>
      <c r="AH618" s="475"/>
      <c r="AI618" s="476"/>
      <c r="AJ618" s="475"/>
      <c r="AP618" s="476"/>
      <c r="AT618" s="477"/>
      <c r="AU618" s="477"/>
      <c r="AV618" s="470"/>
      <c r="AX618" s="478"/>
    </row>
    <row r="619" ht="15.75" customHeight="1">
      <c r="C619" s="470"/>
      <c r="E619" s="471"/>
      <c r="O619" s="472"/>
      <c r="Z619" s="473"/>
      <c r="AC619" s="474"/>
      <c r="AH619" s="475"/>
      <c r="AI619" s="476"/>
      <c r="AJ619" s="475"/>
      <c r="AP619" s="476"/>
      <c r="AT619" s="477"/>
      <c r="AU619" s="477"/>
      <c r="AV619" s="470"/>
      <c r="AX619" s="478"/>
    </row>
    <row r="620" ht="15.75" customHeight="1">
      <c r="C620" s="470"/>
      <c r="E620" s="471"/>
      <c r="O620" s="472"/>
      <c r="Z620" s="473"/>
      <c r="AC620" s="474"/>
      <c r="AH620" s="475"/>
      <c r="AI620" s="476"/>
      <c r="AJ620" s="475"/>
      <c r="AP620" s="476"/>
      <c r="AT620" s="477"/>
      <c r="AU620" s="477"/>
      <c r="AV620" s="470"/>
      <c r="AX620" s="478"/>
    </row>
    <row r="621" ht="15.75" customHeight="1">
      <c r="C621" s="470"/>
      <c r="E621" s="471"/>
      <c r="O621" s="472"/>
      <c r="Z621" s="473"/>
      <c r="AC621" s="474"/>
      <c r="AH621" s="475"/>
      <c r="AI621" s="476"/>
      <c r="AJ621" s="475"/>
      <c r="AP621" s="476"/>
      <c r="AT621" s="477"/>
      <c r="AU621" s="477"/>
      <c r="AV621" s="470"/>
      <c r="AX621" s="478"/>
    </row>
    <row r="622" ht="15.75" customHeight="1">
      <c r="C622" s="470"/>
      <c r="E622" s="471"/>
      <c r="O622" s="472"/>
      <c r="Z622" s="473"/>
      <c r="AC622" s="474"/>
      <c r="AH622" s="475"/>
      <c r="AI622" s="476"/>
      <c r="AJ622" s="475"/>
      <c r="AP622" s="476"/>
      <c r="AT622" s="477"/>
      <c r="AU622" s="477"/>
      <c r="AV622" s="470"/>
      <c r="AX622" s="478"/>
    </row>
    <row r="623" ht="15.75" customHeight="1">
      <c r="C623" s="470"/>
      <c r="E623" s="471"/>
      <c r="O623" s="472"/>
      <c r="Z623" s="473"/>
      <c r="AC623" s="474"/>
      <c r="AH623" s="475"/>
      <c r="AI623" s="476"/>
      <c r="AJ623" s="475"/>
      <c r="AP623" s="476"/>
      <c r="AT623" s="477"/>
      <c r="AU623" s="477"/>
      <c r="AV623" s="470"/>
      <c r="AX623" s="478"/>
    </row>
    <row r="624" ht="15.75" customHeight="1">
      <c r="C624" s="470"/>
      <c r="E624" s="471"/>
      <c r="O624" s="472"/>
      <c r="Z624" s="473"/>
      <c r="AC624" s="474"/>
      <c r="AH624" s="475"/>
      <c r="AI624" s="476"/>
      <c r="AJ624" s="475"/>
      <c r="AP624" s="476"/>
      <c r="AT624" s="477"/>
      <c r="AU624" s="477"/>
      <c r="AV624" s="470"/>
      <c r="AX624" s="478"/>
    </row>
    <row r="625" ht="15.75" customHeight="1">
      <c r="C625" s="470"/>
      <c r="E625" s="471"/>
      <c r="O625" s="472"/>
      <c r="Z625" s="473"/>
      <c r="AC625" s="474"/>
      <c r="AH625" s="475"/>
      <c r="AI625" s="476"/>
      <c r="AJ625" s="475"/>
      <c r="AP625" s="476"/>
      <c r="AT625" s="477"/>
      <c r="AU625" s="477"/>
      <c r="AV625" s="470"/>
      <c r="AX625" s="478"/>
    </row>
    <row r="626" ht="15.75" customHeight="1">
      <c r="C626" s="470"/>
      <c r="E626" s="471"/>
      <c r="O626" s="472"/>
      <c r="Z626" s="473"/>
      <c r="AC626" s="474"/>
      <c r="AH626" s="475"/>
      <c r="AI626" s="476"/>
      <c r="AJ626" s="475"/>
      <c r="AP626" s="476"/>
      <c r="AT626" s="477"/>
      <c r="AU626" s="477"/>
      <c r="AV626" s="470"/>
      <c r="AX626" s="478"/>
    </row>
    <row r="627" ht="15.75" customHeight="1">
      <c r="C627" s="470"/>
      <c r="E627" s="471"/>
      <c r="O627" s="472"/>
      <c r="Z627" s="473"/>
      <c r="AC627" s="474"/>
      <c r="AH627" s="475"/>
      <c r="AI627" s="476"/>
      <c r="AJ627" s="475"/>
      <c r="AP627" s="476"/>
      <c r="AT627" s="477"/>
      <c r="AU627" s="477"/>
      <c r="AV627" s="470"/>
      <c r="AX627" s="478"/>
    </row>
    <row r="628" ht="15.75" customHeight="1">
      <c r="C628" s="470"/>
      <c r="E628" s="471"/>
      <c r="O628" s="472"/>
      <c r="Z628" s="473"/>
      <c r="AC628" s="474"/>
      <c r="AH628" s="475"/>
      <c r="AI628" s="476"/>
      <c r="AJ628" s="475"/>
      <c r="AP628" s="476"/>
      <c r="AT628" s="477"/>
      <c r="AU628" s="477"/>
      <c r="AV628" s="470"/>
      <c r="AX628" s="478"/>
    </row>
    <row r="629" ht="15.75" customHeight="1">
      <c r="C629" s="470"/>
      <c r="E629" s="471"/>
      <c r="O629" s="472"/>
      <c r="Z629" s="473"/>
      <c r="AC629" s="474"/>
      <c r="AH629" s="475"/>
      <c r="AI629" s="476"/>
      <c r="AJ629" s="475"/>
      <c r="AP629" s="476"/>
      <c r="AT629" s="477"/>
      <c r="AU629" s="477"/>
      <c r="AV629" s="470"/>
      <c r="AX629" s="478"/>
    </row>
    <row r="630" ht="15.75" customHeight="1">
      <c r="C630" s="470"/>
      <c r="E630" s="471"/>
      <c r="O630" s="472"/>
      <c r="Z630" s="473"/>
      <c r="AC630" s="474"/>
      <c r="AH630" s="475"/>
      <c r="AI630" s="476"/>
      <c r="AJ630" s="475"/>
      <c r="AP630" s="476"/>
      <c r="AT630" s="477"/>
      <c r="AU630" s="477"/>
      <c r="AV630" s="470"/>
      <c r="AX630" s="478"/>
    </row>
    <row r="631" ht="15.75" customHeight="1">
      <c r="C631" s="470"/>
      <c r="E631" s="471"/>
      <c r="O631" s="472"/>
      <c r="Z631" s="473"/>
      <c r="AC631" s="474"/>
      <c r="AH631" s="475"/>
      <c r="AI631" s="476"/>
      <c r="AJ631" s="475"/>
      <c r="AP631" s="476"/>
      <c r="AT631" s="477"/>
      <c r="AU631" s="477"/>
      <c r="AV631" s="470"/>
      <c r="AX631" s="478"/>
    </row>
    <row r="632" ht="15.75" customHeight="1">
      <c r="C632" s="470"/>
      <c r="E632" s="471"/>
      <c r="O632" s="472"/>
      <c r="Z632" s="473"/>
      <c r="AC632" s="474"/>
      <c r="AH632" s="475"/>
      <c r="AI632" s="476"/>
      <c r="AJ632" s="475"/>
      <c r="AP632" s="476"/>
      <c r="AT632" s="477"/>
      <c r="AU632" s="477"/>
      <c r="AV632" s="470"/>
      <c r="AX632" s="478"/>
    </row>
    <row r="633" ht="15.75" customHeight="1">
      <c r="C633" s="470"/>
      <c r="E633" s="471"/>
      <c r="O633" s="472"/>
      <c r="Z633" s="473"/>
      <c r="AC633" s="474"/>
      <c r="AH633" s="475"/>
      <c r="AI633" s="476"/>
      <c r="AJ633" s="475"/>
      <c r="AP633" s="476"/>
      <c r="AT633" s="477"/>
      <c r="AU633" s="477"/>
      <c r="AV633" s="470"/>
      <c r="AX633" s="478"/>
    </row>
    <row r="634" ht="15.75" customHeight="1">
      <c r="C634" s="470"/>
      <c r="E634" s="471"/>
      <c r="O634" s="472"/>
      <c r="Z634" s="473"/>
      <c r="AC634" s="474"/>
      <c r="AH634" s="475"/>
      <c r="AI634" s="476"/>
      <c r="AJ634" s="475"/>
      <c r="AP634" s="476"/>
      <c r="AT634" s="477"/>
      <c r="AU634" s="477"/>
      <c r="AV634" s="470"/>
      <c r="AX634" s="478"/>
    </row>
    <row r="635" ht="15.75" customHeight="1">
      <c r="C635" s="470"/>
      <c r="E635" s="471"/>
      <c r="O635" s="472"/>
      <c r="Z635" s="473"/>
      <c r="AC635" s="474"/>
      <c r="AH635" s="475"/>
      <c r="AI635" s="476"/>
      <c r="AJ635" s="475"/>
      <c r="AP635" s="476"/>
      <c r="AT635" s="477"/>
      <c r="AU635" s="477"/>
      <c r="AV635" s="470"/>
      <c r="AX635" s="478"/>
    </row>
    <row r="636" ht="15.75" customHeight="1">
      <c r="C636" s="470"/>
      <c r="E636" s="471"/>
      <c r="O636" s="472"/>
      <c r="Z636" s="473"/>
      <c r="AC636" s="474"/>
      <c r="AH636" s="475"/>
      <c r="AI636" s="476"/>
      <c r="AJ636" s="475"/>
      <c r="AP636" s="476"/>
      <c r="AT636" s="477"/>
      <c r="AU636" s="477"/>
      <c r="AV636" s="470"/>
      <c r="AX636" s="478"/>
    </row>
    <row r="637" ht="15.75" customHeight="1">
      <c r="C637" s="470"/>
      <c r="E637" s="471"/>
      <c r="O637" s="472"/>
      <c r="Z637" s="473"/>
      <c r="AC637" s="474"/>
      <c r="AH637" s="475"/>
      <c r="AI637" s="476"/>
      <c r="AJ637" s="475"/>
      <c r="AP637" s="476"/>
      <c r="AT637" s="477"/>
      <c r="AU637" s="477"/>
      <c r="AV637" s="470"/>
      <c r="AX637" s="478"/>
    </row>
    <row r="638" ht="15.75" customHeight="1">
      <c r="C638" s="470"/>
      <c r="E638" s="471"/>
      <c r="O638" s="472"/>
      <c r="Z638" s="473"/>
      <c r="AC638" s="474"/>
      <c r="AH638" s="475"/>
      <c r="AI638" s="476"/>
      <c r="AJ638" s="475"/>
      <c r="AP638" s="476"/>
      <c r="AT638" s="477"/>
      <c r="AU638" s="477"/>
      <c r="AV638" s="470"/>
      <c r="AX638" s="478"/>
    </row>
    <row r="639" ht="15.75" customHeight="1">
      <c r="C639" s="470"/>
      <c r="E639" s="471"/>
      <c r="O639" s="472"/>
      <c r="Z639" s="473"/>
      <c r="AC639" s="474"/>
      <c r="AH639" s="475"/>
      <c r="AI639" s="476"/>
      <c r="AJ639" s="475"/>
      <c r="AP639" s="476"/>
      <c r="AT639" s="477"/>
      <c r="AU639" s="477"/>
      <c r="AV639" s="470"/>
      <c r="AX639" s="478"/>
    </row>
    <row r="640" ht="15.75" customHeight="1">
      <c r="C640" s="470"/>
      <c r="E640" s="471"/>
      <c r="O640" s="472"/>
      <c r="Z640" s="473"/>
      <c r="AC640" s="474"/>
      <c r="AH640" s="475"/>
      <c r="AI640" s="476"/>
      <c r="AJ640" s="475"/>
      <c r="AP640" s="476"/>
      <c r="AT640" s="477"/>
      <c r="AU640" s="477"/>
      <c r="AV640" s="470"/>
      <c r="AX640" s="478"/>
    </row>
    <row r="641" ht="15.75" customHeight="1">
      <c r="C641" s="470"/>
      <c r="E641" s="471"/>
      <c r="O641" s="472"/>
      <c r="Z641" s="473"/>
      <c r="AC641" s="474"/>
      <c r="AH641" s="475"/>
      <c r="AI641" s="476"/>
      <c r="AJ641" s="475"/>
      <c r="AP641" s="476"/>
      <c r="AT641" s="477"/>
      <c r="AU641" s="477"/>
      <c r="AV641" s="470"/>
      <c r="AX641" s="478"/>
    </row>
    <row r="642" ht="15.75" customHeight="1">
      <c r="C642" s="470"/>
      <c r="E642" s="471"/>
      <c r="O642" s="472"/>
      <c r="Z642" s="473"/>
      <c r="AC642" s="474"/>
      <c r="AH642" s="475"/>
      <c r="AI642" s="476"/>
      <c r="AJ642" s="475"/>
      <c r="AP642" s="476"/>
      <c r="AT642" s="477"/>
      <c r="AU642" s="477"/>
      <c r="AV642" s="470"/>
      <c r="AX642" s="478"/>
    </row>
    <row r="643" ht="15.75" customHeight="1">
      <c r="C643" s="470"/>
      <c r="E643" s="471"/>
      <c r="O643" s="472"/>
      <c r="Z643" s="473"/>
      <c r="AC643" s="474"/>
      <c r="AH643" s="475"/>
      <c r="AI643" s="476"/>
      <c r="AJ643" s="475"/>
      <c r="AP643" s="476"/>
      <c r="AT643" s="477"/>
      <c r="AU643" s="477"/>
      <c r="AV643" s="470"/>
      <c r="AX643" s="478"/>
    </row>
    <row r="644" ht="15.75" customHeight="1">
      <c r="C644" s="470"/>
      <c r="E644" s="471"/>
      <c r="O644" s="472"/>
      <c r="Z644" s="473"/>
      <c r="AC644" s="474"/>
      <c r="AH644" s="475"/>
      <c r="AI644" s="476"/>
      <c r="AJ644" s="475"/>
      <c r="AP644" s="476"/>
      <c r="AT644" s="477"/>
      <c r="AU644" s="477"/>
      <c r="AV644" s="470"/>
      <c r="AX644" s="478"/>
    </row>
    <row r="645" ht="15.75" customHeight="1">
      <c r="C645" s="470"/>
      <c r="E645" s="471"/>
      <c r="O645" s="472"/>
      <c r="Z645" s="473"/>
      <c r="AC645" s="474"/>
      <c r="AH645" s="475"/>
      <c r="AI645" s="476"/>
      <c r="AJ645" s="475"/>
      <c r="AP645" s="476"/>
      <c r="AT645" s="477"/>
      <c r="AU645" s="477"/>
      <c r="AV645" s="470"/>
      <c r="AX645" s="478"/>
    </row>
    <row r="646" ht="15.75" customHeight="1">
      <c r="C646" s="470"/>
      <c r="E646" s="471"/>
      <c r="O646" s="472"/>
      <c r="Z646" s="473"/>
      <c r="AC646" s="474"/>
      <c r="AH646" s="475"/>
      <c r="AI646" s="476"/>
      <c r="AJ646" s="475"/>
      <c r="AP646" s="476"/>
      <c r="AT646" s="477"/>
      <c r="AU646" s="477"/>
      <c r="AV646" s="470"/>
      <c r="AX646" s="478"/>
    </row>
    <row r="647" ht="15.75" customHeight="1">
      <c r="C647" s="470"/>
      <c r="E647" s="471"/>
      <c r="O647" s="472"/>
      <c r="Z647" s="473"/>
      <c r="AC647" s="474"/>
      <c r="AH647" s="475"/>
      <c r="AI647" s="476"/>
      <c r="AJ647" s="475"/>
      <c r="AP647" s="476"/>
      <c r="AT647" s="477"/>
      <c r="AU647" s="477"/>
      <c r="AV647" s="470"/>
      <c r="AX647" s="478"/>
    </row>
    <row r="648" ht="15.75" customHeight="1">
      <c r="C648" s="470"/>
      <c r="E648" s="471"/>
      <c r="O648" s="472"/>
      <c r="Z648" s="473"/>
      <c r="AC648" s="474"/>
      <c r="AH648" s="475"/>
      <c r="AI648" s="476"/>
      <c r="AJ648" s="475"/>
      <c r="AP648" s="476"/>
      <c r="AT648" s="477"/>
      <c r="AU648" s="477"/>
      <c r="AV648" s="470"/>
      <c r="AX648" s="478"/>
    </row>
    <row r="649" ht="15.75" customHeight="1">
      <c r="C649" s="470"/>
      <c r="E649" s="471"/>
      <c r="O649" s="472"/>
      <c r="Z649" s="473"/>
      <c r="AC649" s="474"/>
      <c r="AH649" s="475"/>
      <c r="AI649" s="476"/>
      <c r="AJ649" s="475"/>
      <c r="AP649" s="476"/>
      <c r="AT649" s="477"/>
      <c r="AU649" s="477"/>
      <c r="AV649" s="470"/>
      <c r="AX649" s="478"/>
    </row>
    <row r="650" ht="15.75" customHeight="1">
      <c r="C650" s="470"/>
      <c r="E650" s="471"/>
      <c r="O650" s="472"/>
      <c r="Z650" s="473"/>
      <c r="AC650" s="474"/>
      <c r="AH650" s="475"/>
      <c r="AI650" s="476"/>
      <c r="AJ650" s="475"/>
      <c r="AP650" s="476"/>
      <c r="AT650" s="477"/>
      <c r="AU650" s="477"/>
      <c r="AV650" s="470"/>
      <c r="AX650" s="478"/>
    </row>
    <row r="651" ht="15.75" customHeight="1">
      <c r="C651" s="470"/>
      <c r="E651" s="471"/>
      <c r="O651" s="472"/>
      <c r="Z651" s="473"/>
      <c r="AC651" s="474"/>
      <c r="AH651" s="475"/>
      <c r="AI651" s="476"/>
      <c r="AJ651" s="475"/>
      <c r="AP651" s="476"/>
      <c r="AT651" s="477"/>
      <c r="AU651" s="477"/>
      <c r="AV651" s="470"/>
      <c r="AX651" s="478"/>
    </row>
    <row r="652" ht="15.75" customHeight="1">
      <c r="C652" s="470"/>
      <c r="E652" s="471"/>
      <c r="O652" s="472"/>
      <c r="Z652" s="473"/>
      <c r="AC652" s="474"/>
      <c r="AH652" s="475"/>
      <c r="AI652" s="476"/>
      <c r="AJ652" s="475"/>
      <c r="AP652" s="476"/>
      <c r="AT652" s="477"/>
      <c r="AU652" s="477"/>
      <c r="AV652" s="470"/>
      <c r="AX652" s="478"/>
    </row>
    <row r="653" ht="15.75" customHeight="1">
      <c r="C653" s="470"/>
      <c r="E653" s="471"/>
      <c r="O653" s="472"/>
      <c r="Z653" s="473"/>
      <c r="AC653" s="474"/>
      <c r="AH653" s="475"/>
      <c r="AI653" s="476"/>
      <c r="AJ653" s="475"/>
      <c r="AP653" s="476"/>
      <c r="AT653" s="477"/>
      <c r="AU653" s="477"/>
      <c r="AV653" s="470"/>
      <c r="AX653" s="478"/>
    </row>
    <row r="654" ht="15.75" customHeight="1">
      <c r="C654" s="470"/>
      <c r="E654" s="471"/>
      <c r="O654" s="472"/>
      <c r="Z654" s="473"/>
      <c r="AC654" s="474"/>
      <c r="AH654" s="475"/>
      <c r="AI654" s="476"/>
      <c r="AJ654" s="475"/>
      <c r="AP654" s="476"/>
      <c r="AT654" s="477"/>
      <c r="AU654" s="477"/>
      <c r="AV654" s="470"/>
      <c r="AX654" s="478"/>
    </row>
    <row r="655" ht="15.75" customHeight="1">
      <c r="C655" s="470"/>
      <c r="E655" s="471"/>
      <c r="O655" s="472"/>
      <c r="Z655" s="473"/>
      <c r="AC655" s="474"/>
      <c r="AH655" s="475"/>
      <c r="AI655" s="476"/>
      <c r="AJ655" s="475"/>
      <c r="AP655" s="476"/>
      <c r="AT655" s="477"/>
      <c r="AU655" s="477"/>
      <c r="AV655" s="470"/>
      <c r="AX655" s="478"/>
    </row>
    <row r="656" ht="15.75" customHeight="1">
      <c r="C656" s="470"/>
      <c r="E656" s="471"/>
      <c r="O656" s="472"/>
      <c r="Z656" s="473"/>
      <c r="AC656" s="474"/>
      <c r="AH656" s="475"/>
      <c r="AI656" s="476"/>
      <c r="AJ656" s="475"/>
      <c r="AP656" s="476"/>
      <c r="AT656" s="477"/>
      <c r="AU656" s="477"/>
      <c r="AV656" s="470"/>
      <c r="AX656" s="478"/>
    </row>
    <row r="657" ht="15.75" customHeight="1">
      <c r="C657" s="470"/>
      <c r="E657" s="471"/>
      <c r="O657" s="472"/>
      <c r="Z657" s="473"/>
      <c r="AC657" s="474"/>
      <c r="AH657" s="475"/>
      <c r="AI657" s="476"/>
      <c r="AJ657" s="475"/>
      <c r="AP657" s="476"/>
      <c r="AT657" s="477"/>
      <c r="AU657" s="477"/>
      <c r="AV657" s="470"/>
      <c r="AX657" s="478"/>
    </row>
    <row r="658" ht="15.75" customHeight="1">
      <c r="C658" s="470"/>
      <c r="E658" s="471"/>
      <c r="O658" s="472"/>
      <c r="Z658" s="473"/>
      <c r="AC658" s="474"/>
      <c r="AH658" s="475"/>
      <c r="AI658" s="476"/>
      <c r="AJ658" s="475"/>
      <c r="AP658" s="476"/>
      <c r="AT658" s="477"/>
      <c r="AU658" s="477"/>
      <c r="AV658" s="470"/>
      <c r="AX658" s="478"/>
    </row>
    <row r="659" ht="15.75" customHeight="1">
      <c r="C659" s="470"/>
      <c r="E659" s="471"/>
      <c r="O659" s="472"/>
      <c r="Z659" s="473"/>
      <c r="AC659" s="474"/>
      <c r="AH659" s="475"/>
      <c r="AI659" s="476"/>
      <c r="AJ659" s="475"/>
      <c r="AP659" s="476"/>
      <c r="AT659" s="477"/>
      <c r="AU659" s="477"/>
      <c r="AV659" s="470"/>
      <c r="AX659" s="478"/>
    </row>
    <row r="660" ht="15.75" customHeight="1">
      <c r="C660" s="470"/>
      <c r="E660" s="471"/>
      <c r="O660" s="472"/>
      <c r="Z660" s="473"/>
      <c r="AC660" s="474"/>
      <c r="AH660" s="475"/>
      <c r="AI660" s="476"/>
      <c r="AJ660" s="475"/>
      <c r="AP660" s="476"/>
      <c r="AT660" s="477"/>
      <c r="AU660" s="477"/>
      <c r="AV660" s="470"/>
      <c r="AX660" s="478"/>
    </row>
    <row r="661" ht="15.75" customHeight="1">
      <c r="C661" s="470"/>
      <c r="E661" s="471"/>
      <c r="O661" s="472"/>
      <c r="Z661" s="473"/>
      <c r="AC661" s="474"/>
      <c r="AH661" s="475"/>
      <c r="AI661" s="476"/>
      <c r="AJ661" s="475"/>
      <c r="AP661" s="476"/>
      <c r="AT661" s="477"/>
      <c r="AU661" s="477"/>
      <c r="AV661" s="470"/>
      <c r="AX661" s="478"/>
    </row>
    <row r="662" ht="15.75" customHeight="1">
      <c r="C662" s="470"/>
      <c r="E662" s="471"/>
      <c r="O662" s="472"/>
      <c r="Z662" s="473"/>
      <c r="AC662" s="474"/>
      <c r="AH662" s="475"/>
      <c r="AI662" s="476"/>
      <c r="AJ662" s="475"/>
      <c r="AP662" s="476"/>
      <c r="AT662" s="477"/>
      <c r="AU662" s="477"/>
      <c r="AV662" s="470"/>
      <c r="AX662" s="478"/>
    </row>
    <row r="663" ht="15.75" customHeight="1">
      <c r="C663" s="470"/>
      <c r="E663" s="471"/>
      <c r="O663" s="472"/>
      <c r="Z663" s="473"/>
      <c r="AC663" s="474"/>
      <c r="AH663" s="475"/>
      <c r="AI663" s="476"/>
      <c r="AJ663" s="475"/>
      <c r="AP663" s="476"/>
      <c r="AT663" s="477"/>
      <c r="AU663" s="477"/>
      <c r="AV663" s="470"/>
      <c r="AX663" s="478"/>
    </row>
    <row r="664" ht="15.75" customHeight="1">
      <c r="C664" s="470"/>
      <c r="E664" s="471"/>
      <c r="O664" s="472"/>
      <c r="Z664" s="473"/>
      <c r="AC664" s="474"/>
      <c r="AH664" s="475"/>
      <c r="AI664" s="476"/>
      <c r="AJ664" s="475"/>
      <c r="AP664" s="476"/>
      <c r="AT664" s="477"/>
      <c r="AU664" s="477"/>
      <c r="AV664" s="470"/>
      <c r="AX664" s="478"/>
    </row>
    <row r="665" ht="15.75" customHeight="1">
      <c r="C665" s="470"/>
      <c r="E665" s="471"/>
      <c r="O665" s="472"/>
      <c r="Z665" s="473"/>
      <c r="AC665" s="474"/>
      <c r="AH665" s="475"/>
      <c r="AI665" s="476"/>
      <c r="AJ665" s="475"/>
      <c r="AP665" s="476"/>
      <c r="AT665" s="477"/>
      <c r="AU665" s="477"/>
      <c r="AV665" s="470"/>
      <c r="AX665" s="478"/>
    </row>
    <row r="666" ht="15.75" customHeight="1">
      <c r="C666" s="470"/>
      <c r="E666" s="471"/>
      <c r="O666" s="472"/>
      <c r="Z666" s="473"/>
      <c r="AC666" s="474"/>
      <c r="AH666" s="475"/>
      <c r="AI666" s="476"/>
      <c r="AJ666" s="475"/>
      <c r="AP666" s="476"/>
      <c r="AT666" s="477"/>
      <c r="AU666" s="477"/>
      <c r="AV666" s="470"/>
      <c r="AX666" s="478"/>
    </row>
    <row r="667" ht="15.75" customHeight="1">
      <c r="C667" s="470"/>
      <c r="E667" s="471"/>
      <c r="O667" s="472"/>
      <c r="Z667" s="473"/>
      <c r="AC667" s="474"/>
      <c r="AH667" s="475"/>
      <c r="AI667" s="476"/>
      <c r="AJ667" s="475"/>
      <c r="AP667" s="476"/>
      <c r="AT667" s="477"/>
      <c r="AU667" s="477"/>
      <c r="AV667" s="470"/>
      <c r="AX667" s="478"/>
    </row>
    <row r="668" ht="15.75" customHeight="1">
      <c r="C668" s="470"/>
      <c r="E668" s="471"/>
      <c r="O668" s="472"/>
      <c r="Z668" s="473"/>
      <c r="AC668" s="474"/>
      <c r="AH668" s="475"/>
      <c r="AI668" s="476"/>
      <c r="AJ668" s="475"/>
      <c r="AP668" s="476"/>
      <c r="AT668" s="477"/>
      <c r="AU668" s="477"/>
      <c r="AV668" s="470"/>
      <c r="AX668" s="478"/>
    </row>
    <row r="669" ht="15.75" customHeight="1">
      <c r="C669" s="470"/>
      <c r="E669" s="471"/>
      <c r="O669" s="472"/>
      <c r="Z669" s="473"/>
      <c r="AC669" s="474"/>
      <c r="AH669" s="475"/>
      <c r="AI669" s="476"/>
      <c r="AJ669" s="475"/>
      <c r="AP669" s="476"/>
      <c r="AT669" s="477"/>
      <c r="AU669" s="477"/>
      <c r="AV669" s="470"/>
      <c r="AX669" s="478"/>
    </row>
    <row r="670" ht="15.75" customHeight="1">
      <c r="C670" s="470"/>
      <c r="E670" s="471"/>
      <c r="O670" s="472"/>
      <c r="Z670" s="473"/>
      <c r="AC670" s="474"/>
      <c r="AH670" s="475"/>
      <c r="AI670" s="476"/>
      <c r="AJ670" s="475"/>
      <c r="AP670" s="476"/>
      <c r="AT670" s="477"/>
      <c r="AU670" s="477"/>
      <c r="AV670" s="470"/>
      <c r="AX670" s="478"/>
    </row>
    <row r="671" ht="15.75" customHeight="1">
      <c r="C671" s="470"/>
      <c r="E671" s="471"/>
      <c r="O671" s="472"/>
      <c r="Z671" s="473"/>
      <c r="AC671" s="474"/>
      <c r="AH671" s="475"/>
      <c r="AI671" s="476"/>
      <c r="AJ671" s="475"/>
      <c r="AP671" s="476"/>
      <c r="AT671" s="477"/>
      <c r="AU671" s="477"/>
      <c r="AV671" s="470"/>
      <c r="AX671" s="478"/>
    </row>
    <row r="672" ht="15.75" customHeight="1">
      <c r="C672" s="470"/>
      <c r="E672" s="471"/>
      <c r="O672" s="472"/>
      <c r="Z672" s="473"/>
      <c r="AC672" s="474"/>
      <c r="AH672" s="475"/>
      <c r="AI672" s="476"/>
      <c r="AJ672" s="475"/>
      <c r="AP672" s="476"/>
      <c r="AT672" s="477"/>
      <c r="AU672" s="477"/>
      <c r="AV672" s="470"/>
      <c r="AX672" s="478"/>
    </row>
    <row r="673" ht="15.75" customHeight="1">
      <c r="C673" s="470"/>
      <c r="E673" s="471"/>
      <c r="O673" s="472"/>
      <c r="Z673" s="473"/>
      <c r="AC673" s="474"/>
      <c r="AH673" s="475"/>
      <c r="AI673" s="476"/>
      <c r="AJ673" s="475"/>
      <c r="AP673" s="476"/>
      <c r="AT673" s="477"/>
      <c r="AU673" s="477"/>
      <c r="AV673" s="470"/>
      <c r="AX673" s="478"/>
    </row>
    <row r="674" ht="15.75" customHeight="1">
      <c r="C674" s="470"/>
      <c r="E674" s="471"/>
      <c r="O674" s="472"/>
      <c r="Z674" s="473"/>
      <c r="AC674" s="474"/>
      <c r="AH674" s="475"/>
      <c r="AI674" s="476"/>
      <c r="AJ674" s="475"/>
      <c r="AP674" s="476"/>
      <c r="AT674" s="477"/>
      <c r="AU674" s="477"/>
      <c r="AV674" s="470"/>
      <c r="AX674" s="478"/>
    </row>
    <row r="675" ht="15.75" customHeight="1">
      <c r="C675" s="470"/>
      <c r="E675" s="471"/>
      <c r="O675" s="472"/>
      <c r="Z675" s="473"/>
      <c r="AC675" s="474"/>
      <c r="AH675" s="475"/>
      <c r="AI675" s="476"/>
      <c r="AJ675" s="475"/>
      <c r="AP675" s="476"/>
      <c r="AT675" s="477"/>
      <c r="AU675" s="477"/>
      <c r="AV675" s="470"/>
      <c r="AX675" s="478"/>
    </row>
    <row r="676" ht="15.75" customHeight="1">
      <c r="C676" s="470"/>
      <c r="E676" s="471"/>
      <c r="O676" s="472"/>
      <c r="Z676" s="473"/>
      <c r="AC676" s="474"/>
      <c r="AH676" s="475"/>
      <c r="AI676" s="476"/>
      <c r="AJ676" s="475"/>
      <c r="AP676" s="476"/>
      <c r="AT676" s="477"/>
      <c r="AU676" s="477"/>
      <c r="AV676" s="470"/>
      <c r="AX676" s="478"/>
    </row>
    <row r="677" ht="15.75" customHeight="1">
      <c r="C677" s="470"/>
      <c r="E677" s="471"/>
      <c r="O677" s="472"/>
      <c r="Z677" s="473"/>
      <c r="AC677" s="474"/>
      <c r="AH677" s="475"/>
      <c r="AI677" s="476"/>
      <c r="AJ677" s="475"/>
      <c r="AP677" s="476"/>
      <c r="AT677" s="477"/>
      <c r="AU677" s="477"/>
      <c r="AV677" s="470"/>
      <c r="AX677" s="478"/>
    </row>
    <row r="678" ht="15.75" customHeight="1">
      <c r="C678" s="470"/>
      <c r="E678" s="471"/>
      <c r="O678" s="472"/>
      <c r="Z678" s="473"/>
      <c r="AC678" s="474"/>
      <c r="AH678" s="475"/>
      <c r="AI678" s="476"/>
      <c r="AJ678" s="475"/>
      <c r="AP678" s="476"/>
      <c r="AT678" s="477"/>
      <c r="AU678" s="477"/>
      <c r="AV678" s="470"/>
      <c r="AX678" s="478"/>
    </row>
    <row r="679" ht="15.75" customHeight="1">
      <c r="C679" s="470"/>
      <c r="E679" s="471"/>
      <c r="O679" s="472"/>
      <c r="Z679" s="473"/>
      <c r="AC679" s="474"/>
      <c r="AH679" s="475"/>
      <c r="AI679" s="476"/>
      <c r="AJ679" s="475"/>
      <c r="AP679" s="476"/>
      <c r="AT679" s="477"/>
      <c r="AU679" s="477"/>
      <c r="AV679" s="470"/>
      <c r="AX679" s="478"/>
    </row>
    <row r="680" ht="15.75" customHeight="1">
      <c r="C680" s="470"/>
      <c r="E680" s="471"/>
      <c r="O680" s="472"/>
      <c r="Z680" s="473"/>
      <c r="AC680" s="474"/>
      <c r="AH680" s="475"/>
      <c r="AI680" s="476"/>
      <c r="AJ680" s="475"/>
      <c r="AP680" s="476"/>
      <c r="AT680" s="477"/>
      <c r="AU680" s="477"/>
      <c r="AV680" s="470"/>
      <c r="AX680" s="478"/>
    </row>
    <row r="681" ht="15.75" customHeight="1">
      <c r="C681" s="470"/>
      <c r="E681" s="471"/>
      <c r="O681" s="472"/>
      <c r="Z681" s="473"/>
      <c r="AC681" s="474"/>
      <c r="AH681" s="475"/>
      <c r="AI681" s="476"/>
      <c r="AJ681" s="475"/>
      <c r="AP681" s="476"/>
      <c r="AT681" s="477"/>
      <c r="AU681" s="477"/>
      <c r="AV681" s="470"/>
      <c r="AX681" s="478"/>
    </row>
    <row r="682" ht="15.75" customHeight="1">
      <c r="C682" s="470"/>
      <c r="E682" s="471"/>
      <c r="O682" s="472"/>
      <c r="Z682" s="473"/>
      <c r="AC682" s="474"/>
      <c r="AH682" s="475"/>
      <c r="AI682" s="476"/>
      <c r="AJ682" s="475"/>
      <c r="AP682" s="476"/>
      <c r="AT682" s="477"/>
      <c r="AU682" s="477"/>
      <c r="AV682" s="470"/>
      <c r="AX682" s="478"/>
    </row>
    <row r="683" ht="15.75" customHeight="1">
      <c r="C683" s="470"/>
      <c r="E683" s="471"/>
      <c r="O683" s="472"/>
      <c r="Z683" s="473"/>
      <c r="AC683" s="474"/>
      <c r="AH683" s="475"/>
      <c r="AI683" s="476"/>
      <c r="AJ683" s="475"/>
      <c r="AP683" s="476"/>
      <c r="AT683" s="477"/>
      <c r="AU683" s="477"/>
      <c r="AV683" s="470"/>
      <c r="AX683" s="478"/>
    </row>
    <row r="684" ht="15.75" customHeight="1">
      <c r="C684" s="470"/>
      <c r="E684" s="471"/>
      <c r="O684" s="472"/>
      <c r="Z684" s="473"/>
      <c r="AC684" s="474"/>
      <c r="AH684" s="475"/>
      <c r="AI684" s="476"/>
      <c r="AJ684" s="475"/>
      <c r="AP684" s="476"/>
      <c r="AT684" s="477"/>
      <c r="AU684" s="477"/>
      <c r="AV684" s="470"/>
      <c r="AX684" s="478"/>
    </row>
    <row r="685" ht="15.75" customHeight="1">
      <c r="C685" s="470"/>
      <c r="E685" s="471"/>
      <c r="O685" s="472"/>
      <c r="Z685" s="473"/>
      <c r="AC685" s="474"/>
      <c r="AH685" s="475"/>
      <c r="AI685" s="476"/>
      <c r="AJ685" s="475"/>
      <c r="AP685" s="476"/>
      <c r="AT685" s="477"/>
      <c r="AU685" s="477"/>
      <c r="AV685" s="470"/>
      <c r="AX685" s="478"/>
    </row>
    <row r="686" ht="15.75" customHeight="1">
      <c r="C686" s="470"/>
      <c r="E686" s="471"/>
      <c r="O686" s="472"/>
      <c r="Z686" s="473"/>
      <c r="AC686" s="474"/>
      <c r="AH686" s="475"/>
      <c r="AI686" s="476"/>
      <c r="AJ686" s="475"/>
      <c r="AP686" s="476"/>
      <c r="AT686" s="477"/>
      <c r="AU686" s="477"/>
      <c r="AV686" s="470"/>
      <c r="AX686" s="478"/>
    </row>
    <row r="687" ht="15.75" customHeight="1">
      <c r="C687" s="470"/>
      <c r="E687" s="471"/>
      <c r="O687" s="472"/>
      <c r="Z687" s="473"/>
      <c r="AC687" s="474"/>
      <c r="AH687" s="475"/>
      <c r="AI687" s="476"/>
      <c r="AJ687" s="475"/>
      <c r="AP687" s="476"/>
      <c r="AT687" s="477"/>
      <c r="AU687" s="477"/>
      <c r="AV687" s="470"/>
      <c r="AX687" s="478"/>
    </row>
    <row r="688" ht="15.75" customHeight="1">
      <c r="C688" s="470"/>
      <c r="E688" s="471"/>
      <c r="O688" s="472"/>
      <c r="Z688" s="473"/>
      <c r="AC688" s="474"/>
      <c r="AH688" s="475"/>
      <c r="AI688" s="476"/>
      <c r="AJ688" s="475"/>
      <c r="AP688" s="476"/>
      <c r="AT688" s="477"/>
      <c r="AU688" s="477"/>
      <c r="AV688" s="470"/>
      <c r="AX688" s="478"/>
    </row>
    <row r="689" ht="15.75" customHeight="1">
      <c r="C689" s="470"/>
      <c r="E689" s="471"/>
      <c r="O689" s="472"/>
      <c r="Z689" s="473"/>
      <c r="AC689" s="474"/>
      <c r="AH689" s="475"/>
      <c r="AI689" s="476"/>
      <c r="AJ689" s="475"/>
      <c r="AP689" s="476"/>
      <c r="AT689" s="477"/>
      <c r="AU689" s="477"/>
      <c r="AV689" s="470"/>
      <c r="AX689" s="478"/>
    </row>
    <row r="690" ht="15.75" customHeight="1">
      <c r="C690" s="470"/>
      <c r="E690" s="471"/>
      <c r="O690" s="472"/>
      <c r="Z690" s="473"/>
      <c r="AC690" s="474"/>
      <c r="AH690" s="475"/>
      <c r="AI690" s="476"/>
      <c r="AJ690" s="475"/>
      <c r="AP690" s="476"/>
      <c r="AT690" s="477"/>
      <c r="AU690" s="477"/>
      <c r="AV690" s="470"/>
      <c r="AX690" s="478"/>
    </row>
    <row r="691" ht="15.75" customHeight="1">
      <c r="C691" s="470"/>
      <c r="E691" s="471"/>
      <c r="O691" s="472"/>
      <c r="Z691" s="473"/>
      <c r="AC691" s="474"/>
      <c r="AH691" s="475"/>
      <c r="AI691" s="476"/>
      <c r="AJ691" s="475"/>
      <c r="AP691" s="476"/>
      <c r="AT691" s="477"/>
      <c r="AU691" s="477"/>
      <c r="AV691" s="470"/>
      <c r="AX691" s="478"/>
    </row>
    <row r="692" ht="15.75" customHeight="1">
      <c r="C692" s="470"/>
      <c r="E692" s="471"/>
      <c r="O692" s="472"/>
      <c r="Z692" s="473"/>
      <c r="AC692" s="474"/>
      <c r="AH692" s="475"/>
      <c r="AI692" s="476"/>
      <c r="AJ692" s="475"/>
      <c r="AP692" s="476"/>
      <c r="AT692" s="477"/>
      <c r="AU692" s="477"/>
      <c r="AV692" s="470"/>
      <c r="AX692" s="478"/>
    </row>
    <row r="693" ht="15.75" customHeight="1">
      <c r="C693" s="470"/>
      <c r="E693" s="471"/>
      <c r="O693" s="472"/>
      <c r="Z693" s="473"/>
      <c r="AC693" s="474"/>
      <c r="AH693" s="475"/>
      <c r="AI693" s="476"/>
      <c r="AJ693" s="475"/>
      <c r="AP693" s="476"/>
      <c r="AT693" s="477"/>
      <c r="AU693" s="477"/>
      <c r="AV693" s="470"/>
      <c r="AX693" s="478"/>
    </row>
    <row r="694" ht="15.75" customHeight="1">
      <c r="C694" s="470"/>
      <c r="E694" s="471"/>
      <c r="O694" s="472"/>
      <c r="Z694" s="473"/>
      <c r="AC694" s="474"/>
      <c r="AH694" s="475"/>
      <c r="AI694" s="476"/>
      <c r="AJ694" s="475"/>
      <c r="AP694" s="476"/>
      <c r="AT694" s="477"/>
      <c r="AU694" s="477"/>
      <c r="AV694" s="470"/>
      <c r="AX694" s="478"/>
    </row>
    <row r="695" ht="15.75" customHeight="1">
      <c r="C695" s="470"/>
      <c r="E695" s="471"/>
      <c r="O695" s="472"/>
      <c r="Z695" s="473"/>
      <c r="AC695" s="474"/>
      <c r="AH695" s="475"/>
      <c r="AI695" s="476"/>
      <c r="AJ695" s="475"/>
      <c r="AP695" s="476"/>
      <c r="AT695" s="477"/>
      <c r="AU695" s="477"/>
      <c r="AV695" s="470"/>
      <c r="AX695" s="478"/>
    </row>
    <row r="696" ht="15.75" customHeight="1">
      <c r="C696" s="470"/>
      <c r="E696" s="471"/>
      <c r="O696" s="472"/>
      <c r="Z696" s="473"/>
      <c r="AC696" s="474"/>
      <c r="AH696" s="475"/>
      <c r="AI696" s="476"/>
      <c r="AJ696" s="475"/>
      <c r="AP696" s="476"/>
      <c r="AT696" s="477"/>
      <c r="AU696" s="477"/>
      <c r="AV696" s="470"/>
      <c r="AX696" s="478"/>
    </row>
    <row r="697" ht="15.75" customHeight="1">
      <c r="C697" s="470"/>
      <c r="E697" s="471"/>
      <c r="O697" s="472"/>
      <c r="Z697" s="473"/>
      <c r="AC697" s="474"/>
      <c r="AH697" s="475"/>
      <c r="AI697" s="476"/>
      <c r="AJ697" s="475"/>
      <c r="AP697" s="476"/>
      <c r="AT697" s="477"/>
      <c r="AU697" s="477"/>
      <c r="AV697" s="470"/>
      <c r="AX697" s="478"/>
    </row>
    <row r="698" ht="15.75" customHeight="1">
      <c r="C698" s="470"/>
      <c r="E698" s="471"/>
      <c r="O698" s="472"/>
      <c r="Z698" s="473"/>
      <c r="AC698" s="474"/>
      <c r="AH698" s="475"/>
      <c r="AI698" s="476"/>
      <c r="AJ698" s="475"/>
      <c r="AP698" s="476"/>
      <c r="AT698" s="477"/>
      <c r="AU698" s="477"/>
      <c r="AV698" s="470"/>
      <c r="AX698" s="478"/>
    </row>
    <row r="699" ht="15.75" customHeight="1">
      <c r="C699" s="470"/>
      <c r="E699" s="471"/>
      <c r="O699" s="472"/>
      <c r="Z699" s="473"/>
      <c r="AC699" s="474"/>
      <c r="AH699" s="475"/>
      <c r="AI699" s="476"/>
      <c r="AJ699" s="475"/>
      <c r="AP699" s="476"/>
      <c r="AT699" s="477"/>
      <c r="AU699" s="477"/>
      <c r="AV699" s="470"/>
      <c r="AX699" s="478"/>
    </row>
    <row r="700" ht="15.75" customHeight="1">
      <c r="C700" s="470"/>
      <c r="E700" s="471"/>
      <c r="O700" s="472"/>
      <c r="Z700" s="473"/>
      <c r="AC700" s="474"/>
      <c r="AH700" s="475"/>
      <c r="AI700" s="476"/>
      <c r="AJ700" s="475"/>
      <c r="AP700" s="476"/>
      <c r="AT700" s="477"/>
      <c r="AU700" s="477"/>
      <c r="AV700" s="470"/>
      <c r="AX700" s="478"/>
    </row>
    <row r="701" ht="15.75" customHeight="1">
      <c r="C701" s="470"/>
      <c r="E701" s="471"/>
      <c r="O701" s="472"/>
      <c r="Z701" s="473"/>
      <c r="AC701" s="474"/>
      <c r="AH701" s="475"/>
      <c r="AI701" s="476"/>
      <c r="AJ701" s="475"/>
      <c r="AP701" s="476"/>
      <c r="AT701" s="477"/>
      <c r="AU701" s="477"/>
      <c r="AV701" s="470"/>
      <c r="AX701" s="478"/>
    </row>
    <row r="702" ht="15.75" customHeight="1">
      <c r="C702" s="470"/>
      <c r="E702" s="471"/>
      <c r="O702" s="472"/>
      <c r="Z702" s="473"/>
      <c r="AC702" s="474"/>
      <c r="AH702" s="475"/>
      <c r="AI702" s="476"/>
      <c r="AJ702" s="475"/>
      <c r="AP702" s="476"/>
      <c r="AT702" s="477"/>
      <c r="AU702" s="477"/>
      <c r="AV702" s="470"/>
      <c r="AX702" s="478"/>
    </row>
    <row r="703" ht="15.75" customHeight="1">
      <c r="C703" s="470"/>
      <c r="E703" s="471"/>
      <c r="O703" s="472"/>
      <c r="Z703" s="473"/>
      <c r="AC703" s="474"/>
      <c r="AH703" s="475"/>
      <c r="AI703" s="476"/>
      <c r="AJ703" s="475"/>
      <c r="AP703" s="476"/>
      <c r="AT703" s="477"/>
      <c r="AU703" s="477"/>
      <c r="AV703" s="470"/>
      <c r="AX703" s="478"/>
    </row>
    <row r="704" ht="15.75" customHeight="1">
      <c r="C704" s="470"/>
      <c r="E704" s="471"/>
      <c r="O704" s="472"/>
      <c r="Z704" s="473"/>
      <c r="AC704" s="474"/>
      <c r="AH704" s="475"/>
      <c r="AI704" s="476"/>
      <c r="AJ704" s="475"/>
      <c r="AP704" s="476"/>
      <c r="AT704" s="477"/>
      <c r="AU704" s="477"/>
      <c r="AV704" s="470"/>
      <c r="AX704" s="478"/>
    </row>
    <row r="705" ht="15.75" customHeight="1">
      <c r="C705" s="470"/>
      <c r="E705" s="471"/>
      <c r="O705" s="472"/>
      <c r="Z705" s="473"/>
      <c r="AC705" s="474"/>
      <c r="AH705" s="475"/>
      <c r="AI705" s="476"/>
      <c r="AJ705" s="475"/>
      <c r="AP705" s="476"/>
      <c r="AT705" s="477"/>
      <c r="AU705" s="477"/>
      <c r="AV705" s="470"/>
      <c r="AX705" s="478"/>
    </row>
    <row r="706" ht="15.75" customHeight="1">
      <c r="C706" s="470"/>
      <c r="E706" s="471"/>
      <c r="O706" s="472"/>
      <c r="Z706" s="473"/>
      <c r="AC706" s="474"/>
      <c r="AH706" s="475"/>
      <c r="AI706" s="476"/>
      <c r="AJ706" s="475"/>
      <c r="AP706" s="476"/>
      <c r="AT706" s="477"/>
      <c r="AU706" s="477"/>
      <c r="AV706" s="470"/>
      <c r="AX706" s="478"/>
    </row>
    <row r="707" ht="15.75" customHeight="1">
      <c r="C707" s="470"/>
      <c r="E707" s="471"/>
      <c r="O707" s="472"/>
      <c r="Z707" s="473"/>
      <c r="AC707" s="474"/>
      <c r="AH707" s="475"/>
      <c r="AI707" s="476"/>
      <c r="AJ707" s="475"/>
      <c r="AP707" s="476"/>
      <c r="AT707" s="477"/>
      <c r="AU707" s="477"/>
      <c r="AV707" s="470"/>
      <c r="AX707" s="478"/>
    </row>
    <row r="708" ht="15.75" customHeight="1">
      <c r="C708" s="470"/>
      <c r="E708" s="471"/>
      <c r="O708" s="472"/>
      <c r="Z708" s="473"/>
      <c r="AC708" s="474"/>
      <c r="AH708" s="475"/>
      <c r="AI708" s="476"/>
      <c r="AJ708" s="475"/>
      <c r="AP708" s="476"/>
      <c r="AT708" s="477"/>
      <c r="AU708" s="477"/>
      <c r="AV708" s="470"/>
      <c r="AX708" s="478"/>
    </row>
    <row r="709" ht="15.75" customHeight="1">
      <c r="C709" s="470"/>
      <c r="E709" s="471"/>
      <c r="O709" s="472"/>
      <c r="Z709" s="473"/>
      <c r="AC709" s="474"/>
      <c r="AH709" s="475"/>
      <c r="AI709" s="476"/>
      <c r="AJ709" s="475"/>
      <c r="AP709" s="476"/>
      <c r="AT709" s="477"/>
      <c r="AU709" s="477"/>
      <c r="AV709" s="470"/>
      <c r="AX709" s="478"/>
    </row>
    <row r="710" ht="15.75" customHeight="1">
      <c r="C710" s="470"/>
      <c r="E710" s="471"/>
      <c r="O710" s="472"/>
      <c r="Z710" s="473"/>
      <c r="AC710" s="474"/>
      <c r="AH710" s="475"/>
      <c r="AI710" s="476"/>
      <c r="AJ710" s="475"/>
      <c r="AP710" s="476"/>
      <c r="AT710" s="477"/>
      <c r="AU710" s="477"/>
      <c r="AV710" s="470"/>
      <c r="AX710" s="478"/>
    </row>
    <row r="711" ht="15.75" customHeight="1">
      <c r="C711" s="470"/>
      <c r="E711" s="471"/>
      <c r="O711" s="472"/>
      <c r="Z711" s="473"/>
      <c r="AC711" s="474"/>
      <c r="AH711" s="475"/>
      <c r="AI711" s="476"/>
      <c r="AJ711" s="475"/>
      <c r="AP711" s="476"/>
      <c r="AT711" s="477"/>
      <c r="AU711" s="477"/>
      <c r="AV711" s="470"/>
      <c r="AX711" s="478"/>
    </row>
    <row r="712" ht="15.75" customHeight="1">
      <c r="C712" s="470"/>
      <c r="E712" s="471"/>
      <c r="O712" s="472"/>
      <c r="Z712" s="473"/>
      <c r="AC712" s="474"/>
      <c r="AH712" s="475"/>
      <c r="AI712" s="476"/>
      <c r="AJ712" s="475"/>
      <c r="AP712" s="476"/>
      <c r="AT712" s="477"/>
      <c r="AU712" s="477"/>
      <c r="AV712" s="470"/>
      <c r="AX712" s="478"/>
    </row>
    <row r="713" ht="15.75" customHeight="1">
      <c r="C713" s="470"/>
      <c r="E713" s="471"/>
      <c r="O713" s="472"/>
      <c r="Z713" s="473"/>
      <c r="AC713" s="474"/>
      <c r="AH713" s="475"/>
      <c r="AI713" s="476"/>
      <c r="AJ713" s="475"/>
      <c r="AP713" s="476"/>
      <c r="AT713" s="477"/>
      <c r="AU713" s="477"/>
      <c r="AV713" s="470"/>
      <c r="AX713" s="478"/>
    </row>
    <row r="714" ht="15.75" customHeight="1">
      <c r="C714" s="470"/>
      <c r="E714" s="471"/>
      <c r="O714" s="472"/>
      <c r="Z714" s="473"/>
      <c r="AC714" s="474"/>
      <c r="AH714" s="475"/>
      <c r="AI714" s="476"/>
      <c r="AJ714" s="475"/>
      <c r="AP714" s="476"/>
      <c r="AT714" s="477"/>
      <c r="AU714" s="477"/>
      <c r="AV714" s="470"/>
      <c r="AX714" s="478"/>
    </row>
    <row r="715" ht="15.75" customHeight="1">
      <c r="C715" s="470"/>
      <c r="E715" s="471"/>
      <c r="O715" s="472"/>
      <c r="Z715" s="473"/>
      <c r="AC715" s="474"/>
      <c r="AH715" s="475"/>
      <c r="AI715" s="476"/>
      <c r="AJ715" s="475"/>
      <c r="AP715" s="476"/>
      <c r="AT715" s="477"/>
      <c r="AU715" s="477"/>
      <c r="AV715" s="470"/>
      <c r="AX715" s="478"/>
    </row>
    <row r="716" ht="15.75" customHeight="1">
      <c r="C716" s="470"/>
      <c r="E716" s="471"/>
      <c r="O716" s="472"/>
      <c r="Z716" s="473"/>
      <c r="AC716" s="474"/>
      <c r="AH716" s="475"/>
      <c r="AI716" s="476"/>
      <c r="AJ716" s="475"/>
      <c r="AP716" s="476"/>
      <c r="AT716" s="477"/>
      <c r="AU716" s="477"/>
      <c r="AV716" s="470"/>
      <c r="AX716" s="478"/>
    </row>
    <row r="717" ht="15.75" customHeight="1">
      <c r="C717" s="470"/>
      <c r="E717" s="471"/>
      <c r="O717" s="472"/>
      <c r="Z717" s="473"/>
      <c r="AC717" s="474"/>
      <c r="AH717" s="475"/>
      <c r="AI717" s="476"/>
      <c r="AJ717" s="475"/>
      <c r="AP717" s="476"/>
      <c r="AT717" s="477"/>
      <c r="AU717" s="477"/>
      <c r="AV717" s="470"/>
      <c r="AX717" s="478"/>
    </row>
    <row r="718" ht="15.75" customHeight="1">
      <c r="C718" s="470"/>
      <c r="E718" s="471"/>
      <c r="O718" s="472"/>
      <c r="Z718" s="473"/>
      <c r="AC718" s="474"/>
      <c r="AH718" s="475"/>
      <c r="AI718" s="476"/>
      <c r="AJ718" s="475"/>
      <c r="AP718" s="476"/>
      <c r="AT718" s="477"/>
      <c r="AU718" s="477"/>
      <c r="AV718" s="470"/>
      <c r="AX718" s="478"/>
    </row>
    <row r="719" ht="15.75" customHeight="1">
      <c r="C719" s="470"/>
      <c r="E719" s="471"/>
      <c r="O719" s="472"/>
      <c r="Z719" s="473"/>
      <c r="AC719" s="474"/>
      <c r="AH719" s="475"/>
      <c r="AI719" s="476"/>
      <c r="AJ719" s="475"/>
      <c r="AP719" s="476"/>
      <c r="AT719" s="477"/>
      <c r="AU719" s="477"/>
      <c r="AV719" s="470"/>
      <c r="AX719" s="478"/>
    </row>
    <row r="720" ht="15.75" customHeight="1">
      <c r="C720" s="470"/>
      <c r="E720" s="471"/>
      <c r="O720" s="472"/>
      <c r="Z720" s="473"/>
      <c r="AC720" s="474"/>
      <c r="AH720" s="475"/>
      <c r="AI720" s="476"/>
      <c r="AJ720" s="475"/>
      <c r="AP720" s="476"/>
      <c r="AT720" s="477"/>
      <c r="AU720" s="477"/>
      <c r="AV720" s="470"/>
      <c r="AX720" s="478"/>
    </row>
    <row r="721" ht="15.75" customHeight="1">
      <c r="C721" s="470"/>
      <c r="E721" s="471"/>
      <c r="O721" s="472"/>
      <c r="Z721" s="473"/>
      <c r="AC721" s="474"/>
      <c r="AH721" s="475"/>
      <c r="AI721" s="476"/>
      <c r="AJ721" s="475"/>
      <c r="AP721" s="476"/>
      <c r="AT721" s="477"/>
      <c r="AU721" s="477"/>
      <c r="AV721" s="470"/>
      <c r="AX721" s="478"/>
    </row>
    <row r="722" ht="15.75" customHeight="1">
      <c r="C722" s="470"/>
      <c r="E722" s="471"/>
      <c r="O722" s="472"/>
      <c r="Z722" s="473"/>
      <c r="AC722" s="474"/>
      <c r="AH722" s="475"/>
      <c r="AI722" s="476"/>
      <c r="AJ722" s="475"/>
      <c r="AP722" s="476"/>
      <c r="AT722" s="477"/>
      <c r="AU722" s="477"/>
      <c r="AV722" s="470"/>
      <c r="AX722" s="478"/>
    </row>
    <row r="723" ht="15.75" customHeight="1">
      <c r="C723" s="470"/>
      <c r="E723" s="471"/>
      <c r="O723" s="472"/>
      <c r="Z723" s="473"/>
      <c r="AC723" s="474"/>
      <c r="AH723" s="475"/>
      <c r="AI723" s="476"/>
      <c r="AJ723" s="475"/>
      <c r="AP723" s="476"/>
      <c r="AT723" s="477"/>
      <c r="AU723" s="477"/>
      <c r="AV723" s="470"/>
      <c r="AX723" s="478"/>
    </row>
    <row r="724" ht="15.75" customHeight="1">
      <c r="C724" s="470"/>
      <c r="E724" s="471"/>
      <c r="O724" s="472"/>
      <c r="Z724" s="473"/>
      <c r="AC724" s="474"/>
      <c r="AH724" s="475"/>
      <c r="AI724" s="476"/>
      <c r="AJ724" s="475"/>
      <c r="AP724" s="476"/>
      <c r="AT724" s="477"/>
      <c r="AU724" s="477"/>
      <c r="AV724" s="470"/>
      <c r="AX724" s="478"/>
    </row>
    <row r="725" ht="15.75" customHeight="1">
      <c r="C725" s="470"/>
      <c r="E725" s="471"/>
      <c r="O725" s="472"/>
      <c r="Z725" s="473"/>
      <c r="AC725" s="474"/>
      <c r="AH725" s="475"/>
      <c r="AI725" s="476"/>
      <c r="AJ725" s="475"/>
      <c r="AP725" s="476"/>
      <c r="AT725" s="477"/>
      <c r="AU725" s="477"/>
      <c r="AV725" s="470"/>
      <c r="AX725" s="478"/>
    </row>
    <row r="726" ht="15.75" customHeight="1">
      <c r="C726" s="470"/>
      <c r="E726" s="471"/>
      <c r="O726" s="472"/>
      <c r="Z726" s="473"/>
      <c r="AC726" s="474"/>
      <c r="AH726" s="475"/>
      <c r="AI726" s="476"/>
      <c r="AJ726" s="475"/>
      <c r="AP726" s="476"/>
      <c r="AT726" s="477"/>
      <c r="AU726" s="477"/>
      <c r="AV726" s="470"/>
      <c r="AX726" s="478"/>
    </row>
    <row r="727" ht="15.75" customHeight="1">
      <c r="C727" s="470"/>
      <c r="E727" s="471"/>
      <c r="O727" s="472"/>
      <c r="Z727" s="473"/>
      <c r="AC727" s="474"/>
      <c r="AH727" s="475"/>
      <c r="AI727" s="476"/>
      <c r="AJ727" s="475"/>
      <c r="AP727" s="476"/>
      <c r="AT727" s="477"/>
      <c r="AU727" s="477"/>
      <c r="AV727" s="470"/>
      <c r="AX727" s="478"/>
    </row>
    <row r="728" ht="15.75" customHeight="1">
      <c r="C728" s="470"/>
      <c r="E728" s="471"/>
      <c r="O728" s="472"/>
      <c r="Z728" s="473"/>
      <c r="AC728" s="474"/>
      <c r="AH728" s="475"/>
      <c r="AI728" s="476"/>
      <c r="AJ728" s="475"/>
      <c r="AP728" s="476"/>
      <c r="AT728" s="477"/>
      <c r="AU728" s="477"/>
      <c r="AV728" s="470"/>
      <c r="AX728" s="478"/>
    </row>
    <row r="729" ht="15.75" customHeight="1">
      <c r="C729" s="470"/>
      <c r="E729" s="471"/>
      <c r="O729" s="472"/>
      <c r="Z729" s="473"/>
      <c r="AC729" s="474"/>
      <c r="AH729" s="475"/>
      <c r="AI729" s="476"/>
      <c r="AJ729" s="475"/>
      <c r="AP729" s="476"/>
      <c r="AT729" s="477"/>
      <c r="AU729" s="477"/>
      <c r="AV729" s="470"/>
      <c r="AX729" s="478"/>
    </row>
    <row r="730" ht="15.75" customHeight="1">
      <c r="C730" s="470"/>
      <c r="E730" s="471"/>
      <c r="O730" s="472"/>
      <c r="Z730" s="473"/>
      <c r="AC730" s="474"/>
      <c r="AH730" s="475"/>
      <c r="AI730" s="476"/>
      <c r="AJ730" s="475"/>
      <c r="AP730" s="476"/>
      <c r="AT730" s="477"/>
      <c r="AU730" s="477"/>
      <c r="AV730" s="470"/>
      <c r="AX730" s="478"/>
    </row>
    <row r="731" ht="15.75" customHeight="1">
      <c r="C731" s="470"/>
      <c r="E731" s="471"/>
      <c r="O731" s="472"/>
      <c r="Z731" s="473"/>
      <c r="AC731" s="474"/>
      <c r="AH731" s="475"/>
      <c r="AI731" s="476"/>
      <c r="AJ731" s="475"/>
      <c r="AP731" s="476"/>
      <c r="AT731" s="477"/>
      <c r="AU731" s="477"/>
      <c r="AV731" s="470"/>
      <c r="AX731" s="478"/>
    </row>
    <row r="732" ht="15.75" customHeight="1">
      <c r="C732" s="470"/>
      <c r="E732" s="471"/>
      <c r="O732" s="472"/>
      <c r="Z732" s="473"/>
      <c r="AC732" s="474"/>
      <c r="AH732" s="475"/>
      <c r="AI732" s="476"/>
      <c r="AJ732" s="475"/>
      <c r="AP732" s="476"/>
      <c r="AT732" s="477"/>
      <c r="AU732" s="477"/>
      <c r="AV732" s="470"/>
      <c r="AX732" s="478"/>
    </row>
    <row r="733" ht="15.75" customHeight="1">
      <c r="C733" s="470"/>
      <c r="E733" s="471"/>
      <c r="O733" s="472"/>
      <c r="Z733" s="473"/>
      <c r="AC733" s="474"/>
      <c r="AH733" s="475"/>
      <c r="AI733" s="476"/>
      <c r="AJ733" s="475"/>
      <c r="AP733" s="476"/>
      <c r="AT733" s="477"/>
      <c r="AU733" s="477"/>
      <c r="AV733" s="470"/>
      <c r="AX733" s="478"/>
    </row>
    <row r="734" ht="15.75" customHeight="1">
      <c r="C734" s="470"/>
      <c r="E734" s="471"/>
      <c r="O734" s="472"/>
      <c r="Z734" s="473"/>
      <c r="AC734" s="474"/>
      <c r="AH734" s="475"/>
      <c r="AI734" s="476"/>
      <c r="AJ734" s="475"/>
      <c r="AP734" s="476"/>
      <c r="AT734" s="477"/>
      <c r="AU734" s="477"/>
      <c r="AV734" s="470"/>
      <c r="AX734" s="478"/>
    </row>
    <row r="735" ht="15.75" customHeight="1">
      <c r="C735" s="470"/>
      <c r="E735" s="471"/>
      <c r="O735" s="472"/>
      <c r="Z735" s="473"/>
      <c r="AC735" s="474"/>
      <c r="AH735" s="475"/>
      <c r="AI735" s="476"/>
      <c r="AJ735" s="475"/>
      <c r="AP735" s="476"/>
      <c r="AT735" s="477"/>
      <c r="AU735" s="477"/>
      <c r="AV735" s="470"/>
      <c r="AX735" s="478"/>
    </row>
    <row r="736" ht="15.75" customHeight="1">
      <c r="C736" s="470"/>
      <c r="E736" s="471"/>
      <c r="O736" s="472"/>
      <c r="Z736" s="473"/>
      <c r="AC736" s="474"/>
      <c r="AH736" s="475"/>
      <c r="AI736" s="476"/>
      <c r="AJ736" s="475"/>
      <c r="AP736" s="476"/>
      <c r="AT736" s="477"/>
      <c r="AU736" s="477"/>
      <c r="AV736" s="470"/>
      <c r="AX736" s="478"/>
    </row>
    <row r="737" ht="15.75" customHeight="1">
      <c r="C737" s="470"/>
      <c r="E737" s="471"/>
      <c r="O737" s="472"/>
      <c r="Z737" s="473"/>
      <c r="AC737" s="474"/>
      <c r="AH737" s="475"/>
      <c r="AI737" s="476"/>
      <c r="AJ737" s="475"/>
      <c r="AP737" s="476"/>
      <c r="AT737" s="477"/>
      <c r="AU737" s="477"/>
      <c r="AV737" s="470"/>
      <c r="AX737" s="478"/>
    </row>
    <row r="738" ht="15.75" customHeight="1">
      <c r="C738" s="470"/>
      <c r="E738" s="471"/>
      <c r="O738" s="472"/>
      <c r="Z738" s="473"/>
      <c r="AC738" s="474"/>
      <c r="AH738" s="475"/>
      <c r="AI738" s="476"/>
      <c r="AJ738" s="475"/>
      <c r="AP738" s="476"/>
      <c r="AT738" s="477"/>
      <c r="AU738" s="477"/>
      <c r="AV738" s="470"/>
      <c r="AX738" s="478"/>
    </row>
    <row r="739" ht="15.75" customHeight="1">
      <c r="C739" s="470"/>
      <c r="E739" s="471"/>
      <c r="O739" s="472"/>
      <c r="Z739" s="473"/>
      <c r="AC739" s="474"/>
      <c r="AH739" s="475"/>
      <c r="AI739" s="476"/>
      <c r="AJ739" s="475"/>
      <c r="AP739" s="476"/>
      <c r="AT739" s="477"/>
      <c r="AU739" s="477"/>
      <c r="AV739" s="470"/>
      <c r="AX739" s="478"/>
    </row>
    <row r="740" ht="15.75" customHeight="1">
      <c r="C740" s="470"/>
      <c r="E740" s="471"/>
      <c r="O740" s="472"/>
      <c r="Z740" s="473"/>
      <c r="AC740" s="474"/>
      <c r="AH740" s="475"/>
      <c r="AI740" s="476"/>
      <c r="AJ740" s="475"/>
      <c r="AP740" s="476"/>
      <c r="AT740" s="477"/>
      <c r="AU740" s="477"/>
      <c r="AV740" s="470"/>
      <c r="AX740" s="478"/>
    </row>
    <row r="741" ht="15.75" customHeight="1">
      <c r="C741" s="470"/>
      <c r="E741" s="471"/>
      <c r="O741" s="472"/>
      <c r="Z741" s="473"/>
      <c r="AC741" s="474"/>
      <c r="AH741" s="475"/>
      <c r="AI741" s="476"/>
      <c r="AJ741" s="475"/>
      <c r="AP741" s="476"/>
      <c r="AT741" s="477"/>
      <c r="AU741" s="477"/>
      <c r="AV741" s="470"/>
      <c r="AX741" s="478"/>
    </row>
    <row r="742" ht="15.75" customHeight="1">
      <c r="C742" s="470"/>
      <c r="E742" s="471"/>
      <c r="O742" s="472"/>
      <c r="Z742" s="473"/>
      <c r="AC742" s="474"/>
      <c r="AH742" s="475"/>
      <c r="AI742" s="476"/>
      <c r="AJ742" s="475"/>
      <c r="AP742" s="476"/>
      <c r="AT742" s="477"/>
      <c r="AU742" s="477"/>
      <c r="AV742" s="470"/>
      <c r="AX742" s="478"/>
    </row>
    <row r="743" ht="15.75" customHeight="1">
      <c r="C743" s="470"/>
      <c r="E743" s="471"/>
      <c r="O743" s="472"/>
      <c r="Z743" s="473"/>
      <c r="AC743" s="474"/>
      <c r="AH743" s="475"/>
      <c r="AI743" s="476"/>
      <c r="AJ743" s="475"/>
      <c r="AP743" s="476"/>
      <c r="AT743" s="477"/>
      <c r="AU743" s="477"/>
      <c r="AV743" s="470"/>
      <c r="AX743" s="478"/>
    </row>
    <row r="744" ht="15.75" customHeight="1">
      <c r="C744" s="470"/>
      <c r="E744" s="471"/>
      <c r="O744" s="472"/>
      <c r="Z744" s="473"/>
      <c r="AC744" s="474"/>
      <c r="AH744" s="475"/>
      <c r="AI744" s="476"/>
      <c r="AJ744" s="475"/>
      <c r="AP744" s="476"/>
      <c r="AT744" s="477"/>
      <c r="AU744" s="477"/>
      <c r="AV744" s="470"/>
      <c r="AX744" s="478"/>
    </row>
    <row r="745" ht="15.75" customHeight="1">
      <c r="C745" s="470"/>
      <c r="E745" s="471"/>
      <c r="O745" s="472"/>
      <c r="Z745" s="473"/>
      <c r="AC745" s="474"/>
      <c r="AH745" s="475"/>
      <c r="AI745" s="476"/>
      <c r="AJ745" s="475"/>
      <c r="AP745" s="476"/>
      <c r="AT745" s="477"/>
      <c r="AU745" s="477"/>
      <c r="AV745" s="470"/>
      <c r="AX745" s="478"/>
    </row>
    <row r="746" ht="15.75" customHeight="1">
      <c r="C746" s="470"/>
      <c r="E746" s="471"/>
      <c r="O746" s="472"/>
      <c r="Z746" s="473"/>
      <c r="AC746" s="474"/>
      <c r="AH746" s="475"/>
      <c r="AI746" s="476"/>
      <c r="AJ746" s="475"/>
      <c r="AP746" s="476"/>
      <c r="AT746" s="477"/>
      <c r="AU746" s="477"/>
      <c r="AV746" s="470"/>
      <c r="AX746" s="478"/>
    </row>
    <row r="747" ht="15.75" customHeight="1">
      <c r="C747" s="470"/>
      <c r="E747" s="471"/>
      <c r="O747" s="472"/>
      <c r="Z747" s="473"/>
      <c r="AC747" s="474"/>
      <c r="AH747" s="475"/>
      <c r="AI747" s="476"/>
      <c r="AJ747" s="475"/>
      <c r="AP747" s="476"/>
      <c r="AT747" s="477"/>
      <c r="AU747" s="477"/>
      <c r="AV747" s="470"/>
      <c r="AX747" s="478"/>
    </row>
    <row r="748" ht="15.75" customHeight="1">
      <c r="C748" s="470"/>
      <c r="E748" s="471"/>
      <c r="O748" s="472"/>
      <c r="Z748" s="473"/>
      <c r="AC748" s="474"/>
      <c r="AH748" s="475"/>
      <c r="AI748" s="476"/>
      <c r="AJ748" s="475"/>
      <c r="AP748" s="476"/>
      <c r="AT748" s="477"/>
      <c r="AU748" s="477"/>
      <c r="AV748" s="470"/>
      <c r="AX748" s="478"/>
    </row>
    <row r="749" ht="15.75" customHeight="1">
      <c r="C749" s="470"/>
      <c r="E749" s="471"/>
      <c r="O749" s="472"/>
      <c r="Z749" s="473"/>
      <c r="AC749" s="474"/>
      <c r="AH749" s="475"/>
      <c r="AI749" s="476"/>
      <c r="AJ749" s="475"/>
      <c r="AP749" s="476"/>
      <c r="AT749" s="477"/>
      <c r="AU749" s="477"/>
      <c r="AV749" s="470"/>
      <c r="AX749" s="478"/>
    </row>
    <row r="750" ht="15.75" customHeight="1">
      <c r="C750" s="470"/>
      <c r="E750" s="471"/>
      <c r="O750" s="472"/>
      <c r="Z750" s="473"/>
      <c r="AC750" s="474"/>
      <c r="AH750" s="475"/>
      <c r="AI750" s="476"/>
      <c r="AJ750" s="475"/>
      <c r="AP750" s="476"/>
      <c r="AT750" s="477"/>
      <c r="AU750" s="477"/>
      <c r="AV750" s="470"/>
      <c r="AX750" s="478"/>
    </row>
    <row r="751" ht="15.75" customHeight="1">
      <c r="C751" s="470"/>
      <c r="E751" s="471"/>
      <c r="O751" s="472"/>
      <c r="Z751" s="473"/>
      <c r="AC751" s="474"/>
      <c r="AH751" s="475"/>
      <c r="AI751" s="476"/>
      <c r="AJ751" s="475"/>
      <c r="AP751" s="476"/>
      <c r="AT751" s="477"/>
      <c r="AU751" s="477"/>
      <c r="AV751" s="470"/>
      <c r="AX751" s="478"/>
    </row>
    <row r="752" ht="15.75" customHeight="1">
      <c r="C752" s="470"/>
      <c r="E752" s="471"/>
      <c r="O752" s="472"/>
      <c r="Z752" s="473"/>
      <c r="AC752" s="474"/>
      <c r="AH752" s="475"/>
      <c r="AI752" s="476"/>
      <c r="AJ752" s="475"/>
      <c r="AP752" s="476"/>
      <c r="AT752" s="477"/>
      <c r="AU752" s="477"/>
      <c r="AV752" s="470"/>
      <c r="AX752" s="478"/>
    </row>
    <row r="753" ht="15.75" customHeight="1">
      <c r="C753" s="470"/>
      <c r="E753" s="471"/>
      <c r="O753" s="472"/>
      <c r="Z753" s="473"/>
      <c r="AC753" s="474"/>
      <c r="AH753" s="475"/>
      <c r="AI753" s="476"/>
      <c r="AJ753" s="475"/>
      <c r="AP753" s="476"/>
      <c r="AT753" s="477"/>
      <c r="AU753" s="477"/>
      <c r="AV753" s="470"/>
      <c r="AX753" s="478"/>
    </row>
    <row r="754" ht="15.75" customHeight="1">
      <c r="C754" s="470"/>
      <c r="E754" s="471"/>
      <c r="O754" s="472"/>
      <c r="Z754" s="473"/>
      <c r="AC754" s="474"/>
      <c r="AH754" s="475"/>
      <c r="AI754" s="476"/>
      <c r="AJ754" s="475"/>
      <c r="AP754" s="476"/>
      <c r="AT754" s="477"/>
      <c r="AU754" s="477"/>
      <c r="AV754" s="470"/>
      <c r="AX754" s="478"/>
    </row>
    <row r="755" ht="15.75" customHeight="1">
      <c r="C755" s="470"/>
      <c r="E755" s="471"/>
      <c r="O755" s="472"/>
      <c r="Z755" s="473"/>
      <c r="AC755" s="474"/>
      <c r="AH755" s="475"/>
      <c r="AI755" s="476"/>
      <c r="AJ755" s="475"/>
      <c r="AP755" s="476"/>
      <c r="AT755" s="477"/>
      <c r="AU755" s="477"/>
      <c r="AV755" s="470"/>
      <c r="AX755" s="478"/>
    </row>
    <row r="756" ht="15.75" customHeight="1">
      <c r="C756" s="470"/>
      <c r="E756" s="471"/>
      <c r="O756" s="472"/>
      <c r="Z756" s="473"/>
      <c r="AC756" s="474"/>
      <c r="AH756" s="475"/>
      <c r="AI756" s="476"/>
      <c r="AJ756" s="475"/>
      <c r="AP756" s="476"/>
      <c r="AT756" s="477"/>
      <c r="AU756" s="477"/>
      <c r="AV756" s="470"/>
      <c r="AX756" s="478"/>
    </row>
    <row r="757" ht="15.75" customHeight="1">
      <c r="C757" s="470"/>
      <c r="E757" s="471"/>
      <c r="O757" s="472"/>
      <c r="Z757" s="473"/>
      <c r="AC757" s="474"/>
      <c r="AH757" s="475"/>
      <c r="AI757" s="476"/>
      <c r="AJ757" s="475"/>
      <c r="AP757" s="476"/>
      <c r="AT757" s="477"/>
      <c r="AU757" s="477"/>
      <c r="AV757" s="470"/>
      <c r="AX757" s="478"/>
    </row>
    <row r="758" ht="15.75" customHeight="1">
      <c r="C758" s="470"/>
      <c r="E758" s="471"/>
      <c r="O758" s="472"/>
      <c r="Z758" s="473"/>
      <c r="AC758" s="474"/>
      <c r="AH758" s="475"/>
      <c r="AI758" s="476"/>
      <c r="AJ758" s="475"/>
      <c r="AP758" s="476"/>
      <c r="AT758" s="477"/>
      <c r="AU758" s="477"/>
      <c r="AV758" s="470"/>
      <c r="AX758" s="478"/>
    </row>
    <row r="759" ht="15.75" customHeight="1">
      <c r="C759" s="470"/>
      <c r="E759" s="471"/>
      <c r="O759" s="472"/>
      <c r="Z759" s="473"/>
      <c r="AC759" s="474"/>
      <c r="AH759" s="475"/>
      <c r="AI759" s="476"/>
      <c r="AJ759" s="475"/>
      <c r="AP759" s="476"/>
      <c r="AT759" s="477"/>
      <c r="AU759" s="477"/>
      <c r="AV759" s="470"/>
      <c r="AX759" s="478"/>
    </row>
    <row r="760" ht="15.75" customHeight="1">
      <c r="C760" s="470"/>
      <c r="E760" s="471"/>
      <c r="O760" s="472"/>
      <c r="Z760" s="473"/>
      <c r="AC760" s="474"/>
      <c r="AH760" s="475"/>
      <c r="AI760" s="476"/>
      <c r="AJ760" s="475"/>
      <c r="AP760" s="476"/>
      <c r="AT760" s="477"/>
      <c r="AU760" s="477"/>
      <c r="AV760" s="470"/>
      <c r="AX760" s="478"/>
    </row>
    <row r="761" ht="15.75" customHeight="1">
      <c r="C761" s="470"/>
      <c r="E761" s="471"/>
      <c r="O761" s="472"/>
      <c r="Z761" s="473"/>
      <c r="AC761" s="474"/>
      <c r="AH761" s="475"/>
      <c r="AI761" s="476"/>
      <c r="AJ761" s="475"/>
      <c r="AP761" s="476"/>
      <c r="AT761" s="477"/>
      <c r="AU761" s="477"/>
      <c r="AV761" s="470"/>
      <c r="AX761" s="478"/>
    </row>
    <row r="762" ht="15.75" customHeight="1">
      <c r="C762" s="470"/>
      <c r="E762" s="471"/>
      <c r="O762" s="472"/>
      <c r="Z762" s="473"/>
      <c r="AC762" s="474"/>
      <c r="AH762" s="475"/>
      <c r="AI762" s="476"/>
      <c r="AJ762" s="475"/>
      <c r="AP762" s="476"/>
      <c r="AT762" s="477"/>
      <c r="AU762" s="477"/>
      <c r="AV762" s="470"/>
      <c r="AX762" s="478"/>
    </row>
    <row r="763" ht="15.75" customHeight="1">
      <c r="C763" s="470"/>
      <c r="E763" s="471"/>
      <c r="O763" s="472"/>
      <c r="Z763" s="473"/>
      <c r="AC763" s="474"/>
      <c r="AH763" s="475"/>
      <c r="AI763" s="476"/>
      <c r="AJ763" s="475"/>
      <c r="AP763" s="476"/>
      <c r="AT763" s="477"/>
      <c r="AU763" s="477"/>
      <c r="AV763" s="470"/>
      <c r="AX763" s="478"/>
    </row>
    <row r="764" ht="15.75" customHeight="1">
      <c r="C764" s="470"/>
      <c r="E764" s="471"/>
      <c r="O764" s="472"/>
      <c r="Z764" s="473"/>
      <c r="AC764" s="474"/>
      <c r="AH764" s="475"/>
      <c r="AI764" s="476"/>
      <c r="AJ764" s="475"/>
      <c r="AP764" s="476"/>
      <c r="AT764" s="477"/>
      <c r="AU764" s="477"/>
      <c r="AV764" s="470"/>
      <c r="AX764" s="478"/>
    </row>
    <row r="765" ht="15.75" customHeight="1">
      <c r="C765" s="470"/>
      <c r="E765" s="471"/>
      <c r="O765" s="472"/>
      <c r="Z765" s="473"/>
      <c r="AC765" s="474"/>
      <c r="AH765" s="475"/>
      <c r="AI765" s="476"/>
      <c r="AJ765" s="475"/>
      <c r="AP765" s="476"/>
      <c r="AT765" s="477"/>
      <c r="AU765" s="477"/>
      <c r="AV765" s="470"/>
      <c r="AX765" s="478"/>
    </row>
    <row r="766" ht="15.75" customHeight="1">
      <c r="C766" s="470"/>
      <c r="E766" s="471"/>
      <c r="O766" s="472"/>
      <c r="Z766" s="473"/>
      <c r="AC766" s="474"/>
      <c r="AH766" s="475"/>
      <c r="AI766" s="476"/>
      <c r="AJ766" s="475"/>
      <c r="AP766" s="476"/>
      <c r="AT766" s="477"/>
      <c r="AU766" s="477"/>
      <c r="AV766" s="470"/>
      <c r="AX766" s="478"/>
    </row>
    <row r="767" ht="15.75" customHeight="1">
      <c r="C767" s="470"/>
      <c r="E767" s="471"/>
      <c r="O767" s="472"/>
      <c r="Z767" s="473"/>
      <c r="AC767" s="474"/>
      <c r="AH767" s="475"/>
      <c r="AI767" s="476"/>
      <c r="AJ767" s="475"/>
      <c r="AP767" s="476"/>
      <c r="AT767" s="477"/>
      <c r="AU767" s="477"/>
      <c r="AV767" s="470"/>
      <c r="AX767" s="478"/>
    </row>
    <row r="768" ht="15.75" customHeight="1">
      <c r="C768" s="470"/>
      <c r="E768" s="471"/>
      <c r="O768" s="472"/>
      <c r="Z768" s="473"/>
      <c r="AC768" s="474"/>
      <c r="AH768" s="475"/>
      <c r="AI768" s="476"/>
      <c r="AJ768" s="475"/>
      <c r="AP768" s="476"/>
      <c r="AT768" s="477"/>
      <c r="AU768" s="477"/>
      <c r="AV768" s="470"/>
      <c r="AX768" s="478"/>
    </row>
    <row r="769" ht="15.75" customHeight="1">
      <c r="C769" s="470"/>
      <c r="E769" s="471"/>
      <c r="O769" s="472"/>
      <c r="Z769" s="473"/>
      <c r="AC769" s="474"/>
      <c r="AH769" s="475"/>
      <c r="AI769" s="476"/>
      <c r="AJ769" s="475"/>
      <c r="AP769" s="476"/>
      <c r="AT769" s="477"/>
      <c r="AU769" s="477"/>
      <c r="AV769" s="470"/>
      <c r="AX769" s="478"/>
    </row>
    <row r="770" ht="15.75" customHeight="1">
      <c r="C770" s="470"/>
      <c r="E770" s="471"/>
      <c r="O770" s="472"/>
      <c r="Z770" s="473"/>
      <c r="AC770" s="474"/>
      <c r="AH770" s="475"/>
      <c r="AI770" s="476"/>
      <c r="AJ770" s="475"/>
      <c r="AP770" s="476"/>
      <c r="AT770" s="477"/>
      <c r="AU770" s="477"/>
      <c r="AV770" s="470"/>
      <c r="AX770" s="478"/>
    </row>
    <row r="771" ht="15.75" customHeight="1">
      <c r="C771" s="470"/>
      <c r="E771" s="471"/>
      <c r="O771" s="472"/>
      <c r="Z771" s="473"/>
      <c r="AC771" s="474"/>
      <c r="AH771" s="475"/>
      <c r="AI771" s="476"/>
      <c r="AJ771" s="475"/>
      <c r="AP771" s="476"/>
      <c r="AT771" s="477"/>
      <c r="AU771" s="477"/>
      <c r="AV771" s="470"/>
      <c r="AX771" s="478"/>
    </row>
    <row r="772" ht="15.75" customHeight="1">
      <c r="C772" s="470"/>
      <c r="E772" s="471"/>
      <c r="O772" s="472"/>
      <c r="Z772" s="473"/>
      <c r="AC772" s="474"/>
      <c r="AH772" s="475"/>
      <c r="AI772" s="476"/>
      <c r="AJ772" s="475"/>
      <c r="AP772" s="476"/>
      <c r="AT772" s="477"/>
      <c r="AU772" s="477"/>
      <c r="AV772" s="470"/>
      <c r="AX772" s="478"/>
    </row>
    <row r="773" ht="15.75" customHeight="1">
      <c r="C773" s="470"/>
      <c r="E773" s="471"/>
      <c r="O773" s="472"/>
      <c r="Z773" s="473"/>
      <c r="AC773" s="474"/>
      <c r="AH773" s="475"/>
      <c r="AI773" s="476"/>
      <c r="AJ773" s="475"/>
      <c r="AP773" s="476"/>
      <c r="AT773" s="477"/>
      <c r="AU773" s="477"/>
      <c r="AV773" s="470"/>
      <c r="AX773" s="478"/>
    </row>
    <row r="774" ht="15.75" customHeight="1">
      <c r="C774" s="470"/>
      <c r="E774" s="471"/>
      <c r="O774" s="472"/>
      <c r="Z774" s="473"/>
      <c r="AC774" s="474"/>
      <c r="AH774" s="475"/>
      <c r="AI774" s="476"/>
      <c r="AJ774" s="475"/>
      <c r="AP774" s="476"/>
      <c r="AT774" s="477"/>
      <c r="AU774" s="477"/>
      <c r="AV774" s="470"/>
      <c r="AX774" s="478"/>
    </row>
    <row r="775" ht="15.75" customHeight="1">
      <c r="C775" s="470"/>
      <c r="E775" s="471"/>
      <c r="O775" s="472"/>
      <c r="Z775" s="473"/>
      <c r="AC775" s="474"/>
      <c r="AH775" s="475"/>
      <c r="AI775" s="476"/>
      <c r="AJ775" s="475"/>
      <c r="AP775" s="476"/>
      <c r="AT775" s="477"/>
      <c r="AU775" s="477"/>
      <c r="AV775" s="470"/>
      <c r="AX775" s="478"/>
    </row>
    <row r="776" ht="15.75" customHeight="1">
      <c r="C776" s="470"/>
      <c r="E776" s="471"/>
      <c r="O776" s="472"/>
      <c r="Z776" s="473"/>
      <c r="AC776" s="474"/>
      <c r="AH776" s="475"/>
      <c r="AI776" s="476"/>
      <c r="AJ776" s="475"/>
      <c r="AP776" s="476"/>
      <c r="AT776" s="477"/>
      <c r="AU776" s="477"/>
      <c r="AV776" s="470"/>
      <c r="AX776" s="478"/>
    </row>
    <row r="777" ht="15.75" customHeight="1">
      <c r="C777" s="470"/>
      <c r="E777" s="471"/>
      <c r="O777" s="472"/>
      <c r="Z777" s="473"/>
      <c r="AC777" s="474"/>
      <c r="AH777" s="475"/>
      <c r="AI777" s="476"/>
      <c r="AJ777" s="475"/>
      <c r="AP777" s="476"/>
      <c r="AT777" s="477"/>
      <c r="AU777" s="477"/>
      <c r="AV777" s="470"/>
      <c r="AX777" s="478"/>
    </row>
    <row r="778" ht="15.75" customHeight="1">
      <c r="C778" s="470"/>
      <c r="E778" s="471"/>
      <c r="O778" s="472"/>
      <c r="Z778" s="473"/>
      <c r="AC778" s="474"/>
      <c r="AH778" s="475"/>
      <c r="AI778" s="476"/>
      <c r="AJ778" s="475"/>
      <c r="AP778" s="476"/>
      <c r="AT778" s="477"/>
      <c r="AU778" s="477"/>
      <c r="AV778" s="470"/>
      <c r="AX778" s="478"/>
    </row>
    <row r="779" ht="15.75" customHeight="1">
      <c r="C779" s="470"/>
      <c r="E779" s="471"/>
      <c r="O779" s="472"/>
      <c r="Z779" s="473"/>
      <c r="AC779" s="474"/>
      <c r="AH779" s="475"/>
      <c r="AI779" s="476"/>
      <c r="AJ779" s="475"/>
      <c r="AP779" s="476"/>
      <c r="AT779" s="477"/>
      <c r="AU779" s="477"/>
      <c r="AV779" s="470"/>
      <c r="AX779" s="478"/>
    </row>
    <row r="780" ht="15.75" customHeight="1">
      <c r="C780" s="470"/>
      <c r="E780" s="471"/>
      <c r="O780" s="472"/>
      <c r="Z780" s="473"/>
      <c r="AC780" s="474"/>
      <c r="AH780" s="475"/>
      <c r="AI780" s="476"/>
      <c r="AJ780" s="475"/>
      <c r="AP780" s="476"/>
      <c r="AT780" s="477"/>
      <c r="AU780" s="477"/>
      <c r="AV780" s="470"/>
      <c r="AX780" s="478"/>
    </row>
    <row r="781" ht="15.75" customHeight="1">
      <c r="C781" s="470"/>
      <c r="E781" s="471"/>
      <c r="O781" s="472"/>
      <c r="Z781" s="473"/>
      <c r="AC781" s="474"/>
      <c r="AH781" s="475"/>
      <c r="AI781" s="476"/>
      <c r="AJ781" s="475"/>
      <c r="AP781" s="476"/>
      <c r="AT781" s="477"/>
      <c r="AU781" s="477"/>
      <c r="AV781" s="470"/>
      <c r="AX781" s="478"/>
    </row>
    <row r="782" ht="15.75" customHeight="1">
      <c r="C782" s="470"/>
      <c r="E782" s="471"/>
      <c r="O782" s="472"/>
      <c r="Z782" s="473"/>
      <c r="AC782" s="474"/>
      <c r="AH782" s="475"/>
      <c r="AI782" s="476"/>
      <c r="AJ782" s="475"/>
      <c r="AP782" s="476"/>
      <c r="AT782" s="477"/>
      <c r="AU782" s="477"/>
      <c r="AV782" s="470"/>
      <c r="AX782" s="478"/>
    </row>
    <row r="783" ht="15.75" customHeight="1">
      <c r="C783" s="470"/>
      <c r="E783" s="471"/>
      <c r="O783" s="472"/>
      <c r="Z783" s="473"/>
      <c r="AC783" s="474"/>
      <c r="AH783" s="475"/>
      <c r="AI783" s="476"/>
      <c r="AJ783" s="475"/>
      <c r="AP783" s="476"/>
      <c r="AT783" s="477"/>
      <c r="AU783" s="477"/>
      <c r="AV783" s="470"/>
      <c r="AX783" s="478"/>
    </row>
    <row r="784" ht="15.75" customHeight="1">
      <c r="C784" s="470"/>
      <c r="E784" s="471"/>
      <c r="O784" s="472"/>
      <c r="Z784" s="473"/>
      <c r="AC784" s="474"/>
      <c r="AH784" s="475"/>
      <c r="AI784" s="476"/>
      <c r="AJ784" s="475"/>
      <c r="AP784" s="476"/>
      <c r="AT784" s="477"/>
      <c r="AU784" s="477"/>
      <c r="AV784" s="470"/>
      <c r="AX784" s="478"/>
    </row>
    <row r="785" ht="15.75" customHeight="1">
      <c r="C785" s="470"/>
      <c r="E785" s="471"/>
      <c r="O785" s="472"/>
      <c r="Z785" s="473"/>
      <c r="AC785" s="474"/>
      <c r="AH785" s="475"/>
      <c r="AI785" s="476"/>
      <c r="AJ785" s="475"/>
      <c r="AP785" s="476"/>
      <c r="AT785" s="477"/>
      <c r="AU785" s="477"/>
      <c r="AV785" s="470"/>
      <c r="AX785" s="478"/>
    </row>
    <row r="786" ht="15.75" customHeight="1">
      <c r="C786" s="470"/>
      <c r="E786" s="471"/>
      <c r="O786" s="472"/>
      <c r="Z786" s="473"/>
      <c r="AC786" s="474"/>
      <c r="AH786" s="475"/>
      <c r="AI786" s="476"/>
      <c r="AJ786" s="475"/>
      <c r="AP786" s="476"/>
      <c r="AT786" s="477"/>
      <c r="AU786" s="477"/>
      <c r="AV786" s="470"/>
      <c r="AX786" s="478"/>
    </row>
    <row r="787" ht="15.75" customHeight="1">
      <c r="C787" s="470"/>
      <c r="E787" s="471"/>
      <c r="O787" s="472"/>
      <c r="Z787" s="473"/>
      <c r="AC787" s="474"/>
      <c r="AH787" s="475"/>
      <c r="AI787" s="476"/>
      <c r="AJ787" s="475"/>
      <c r="AP787" s="476"/>
      <c r="AT787" s="477"/>
      <c r="AU787" s="477"/>
      <c r="AV787" s="470"/>
      <c r="AX787" s="478"/>
    </row>
    <row r="788" ht="15.75" customHeight="1">
      <c r="C788" s="470"/>
      <c r="E788" s="471"/>
      <c r="O788" s="472"/>
      <c r="Z788" s="473"/>
      <c r="AC788" s="474"/>
      <c r="AH788" s="475"/>
      <c r="AI788" s="476"/>
      <c r="AJ788" s="475"/>
      <c r="AP788" s="476"/>
      <c r="AT788" s="477"/>
      <c r="AU788" s="477"/>
      <c r="AV788" s="470"/>
      <c r="AX788" s="478"/>
    </row>
    <row r="789" ht="15.75" customHeight="1">
      <c r="C789" s="470"/>
      <c r="E789" s="471"/>
      <c r="O789" s="472"/>
      <c r="Z789" s="473"/>
      <c r="AC789" s="474"/>
      <c r="AH789" s="475"/>
      <c r="AI789" s="476"/>
      <c r="AJ789" s="475"/>
      <c r="AP789" s="476"/>
      <c r="AT789" s="477"/>
      <c r="AU789" s="477"/>
      <c r="AV789" s="470"/>
      <c r="AX789" s="478"/>
    </row>
    <row r="790" ht="15.75" customHeight="1">
      <c r="C790" s="470"/>
      <c r="E790" s="471"/>
      <c r="O790" s="472"/>
      <c r="Z790" s="473"/>
      <c r="AC790" s="474"/>
      <c r="AH790" s="475"/>
      <c r="AI790" s="476"/>
      <c r="AJ790" s="475"/>
      <c r="AP790" s="476"/>
      <c r="AT790" s="477"/>
      <c r="AU790" s="477"/>
      <c r="AV790" s="470"/>
      <c r="AX790" s="478"/>
    </row>
    <row r="791" ht="15.75" customHeight="1">
      <c r="C791" s="470"/>
      <c r="E791" s="471"/>
      <c r="O791" s="472"/>
      <c r="Z791" s="473"/>
      <c r="AC791" s="474"/>
      <c r="AH791" s="475"/>
      <c r="AI791" s="476"/>
      <c r="AJ791" s="475"/>
      <c r="AP791" s="476"/>
      <c r="AT791" s="477"/>
      <c r="AU791" s="477"/>
      <c r="AV791" s="470"/>
      <c r="AX791" s="478"/>
    </row>
    <row r="792" ht="15.75" customHeight="1">
      <c r="C792" s="470"/>
      <c r="E792" s="471"/>
      <c r="O792" s="472"/>
      <c r="Z792" s="473"/>
      <c r="AC792" s="474"/>
      <c r="AH792" s="475"/>
      <c r="AI792" s="476"/>
      <c r="AJ792" s="475"/>
      <c r="AP792" s="476"/>
      <c r="AT792" s="477"/>
      <c r="AU792" s="477"/>
      <c r="AV792" s="470"/>
      <c r="AX792" s="478"/>
    </row>
    <row r="793" ht="15.75" customHeight="1">
      <c r="C793" s="470"/>
      <c r="E793" s="471"/>
      <c r="O793" s="472"/>
      <c r="Z793" s="473"/>
      <c r="AC793" s="474"/>
      <c r="AH793" s="475"/>
      <c r="AI793" s="476"/>
      <c r="AJ793" s="475"/>
      <c r="AP793" s="476"/>
      <c r="AT793" s="477"/>
      <c r="AU793" s="477"/>
      <c r="AV793" s="470"/>
      <c r="AX793" s="478"/>
    </row>
    <row r="794" ht="15.75" customHeight="1">
      <c r="C794" s="470"/>
      <c r="E794" s="471"/>
      <c r="O794" s="472"/>
      <c r="Z794" s="473"/>
      <c r="AC794" s="474"/>
      <c r="AH794" s="475"/>
      <c r="AI794" s="476"/>
      <c r="AJ794" s="475"/>
      <c r="AP794" s="476"/>
      <c r="AT794" s="477"/>
      <c r="AU794" s="477"/>
      <c r="AV794" s="470"/>
      <c r="AX794" s="478"/>
    </row>
    <row r="795" ht="15.75" customHeight="1">
      <c r="C795" s="470"/>
      <c r="E795" s="471"/>
      <c r="O795" s="472"/>
      <c r="Z795" s="473"/>
      <c r="AC795" s="474"/>
      <c r="AH795" s="475"/>
      <c r="AI795" s="476"/>
      <c r="AJ795" s="475"/>
      <c r="AP795" s="476"/>
      <c r="AT795" s="477"/>
      <c r="AU795" s="477"/>
      <c r="AV795" s="470"/>
      <c r="AX795" s="478"/>
    </row>
    <row r="796" ht="15.75" customHeight="1">
      <c r="C796" s="470"/>
      <c r="E796" s="471"/>
      <c r="O796" s="472"/>
      <c r="Z796" s="473"/>
      <c r="AC796" s="474"/>
      <c r="AH796" s="475"/>
      <c r="AI796" s="476"/>
      <c r="AJ796" s="475"/>
      <c r="AP796" s="476"/>
      <c r="AT796" s="477"/>
      <c r="AU796" s="477"/>
      <c r="AV796" s="470"/>
      <c r="AX796" s="478"/>
    </row>
    <row r="797" ht="15.75" customHeight="1">
      <c r="C797" s="470"/>
      <c r="E797" s="471"/>
      <c r="O797" s="472"/>
      <c r="Z797" s="473"/>
      <c r="AC797" s="474"/>
      <c r="AH797" s="475"/>
      <c r="AI797" s="476"/>
      <c r="AJ797" s="475"/>
      <c r="AP797" s="476"/>
      <c r="AT797" s="477"/>
      <c r="AU797" s="477"/>
      <c r="AV797" s="470"/>
      <c r="AX797" s="478"/>
    </row>
    <row r="798" ht="15.75" customHeight="1">
      <c r="C798" s="470"/>
      <c r="E798" s="471"/>
      <c r="O798" s="472"/>
      <c r="Z798" s="473"/>
      <c r="AC798" s="474"/>
      <c r="AH798" s="475"/>
      <c r="AI798" s="476"/>
      <c r="AJ798" s="475"/>
      <c r="AP798" s="476"/>
      <c r="AT798" s="477"/>
      <c r="AU798" s="477"/>
      <c r="AV798" s="470"/>
      <c r="AX798" s="478"/>
    </row>
    <row r="799" ht="15.75" customHeight="1">
      <c r="C799" s="470"/>
      <c r="E799" s="471"/>
      <c r="O799" s="472"/>
      <c r="Z799" s="473"/>
      <c r="AC799" s="474"/>
      <c r="AH799" s="475"/>
      <c r="AI799" s="476"/>
      <c r="AJ799" s="475"/>
      <c r="AP799" s="476"/>
      <c r="AT799" s="477"/>
      <c r="AU799" s="477"/>
      <c r="AV799" s="470"/>
      <c r="AX799" s="478"/>
    </row>
    <row r="800" ht="15.75" customHeight="1">
      <c r="C800" s="470"/>
      <c r="E800" s="471"/>
      <c r="O800" s="472"/>
      <c r="Z800" s="473"/>
      <c r="AC800" s="474"/>
      <c r="AH800" s="475"/>
      <c r="AI800" s="476"/>
      <c r="AJ800" s="475"/>
      <c r="AP800" s="476"/>
      <c r="AT800" s="477"/>
      <c r="AU800" s="477"/>
      <c r="AV800" s="470"/>
      <c r="AX800" s="478"/>
    </row>
    <row r="801" ht="15.75" customHeight="1">
      <c r="C801" s="470"/>
      <c r="E801" s="471"/>
      <c r="O801" s="472"/>
      <c r="Z801" s="473"/>
      <c r="AC801" s="474"/>
      <c r="AH801" s="475"/>
      <c r="AI801" s="476"/>
      <c r="AJ801" s="475"/>
      <c r="AP801" s="476"/>
      <c r="AT801" s="477"/>
      <c r="AU801" s="477"/>
      <c r="AV801" s="470"/>
      <c r="AX801" s="478"/>
    </row>
    <row r="802" ht="15.75" customHeight="1">
      <c r="C802" s="470"/>
      <c r="E802" s="471"/>
      <c r="O802" s="472"/>
      <c r="Z802" s="473"/>
      <c r="AC802" s="474"/>
      <c r="AH802" s="475"/>
      <c r="AI802" s="476"/>
      <c r="AJ802" s="475"/>
      <c r="AP802" s="476"/>
      <c r="AT802" s="477"/>
      <c r="AU802" s="477"/>
      <c r="AV802" s="470"/>
      <c r="AX802" s="478"/>
    </row>
    <row r="803" ht="15.75" customHeight="1">
      <c r="C803" s="470"/>
      <c r="E803" s="471"/>
      <c r="O803" s="472"/>
      <c r="Z803" s="473"/>
      <c r="AC803" s="474"/>
      <c r="AH803" s="475"/>
      <c r="AI803" s="476"/>
      <c r="AJ803" s="475"/>
      <c r="AP803" s="476"/>
      <c r="AT803" s="477"/>
      <c r="AU803" s="477"/>
      <c r="AV803" s="470"/>
      <c r="AX803" s="478"/>
    </row>
    <row r="804" ht="15.75" customHeight="1">
      <c r="C804" s="470"/>
      <c r="E804" s="471"/>
      <c r="O804" s="472"/>
      <c r="Z804" s="473"/>
      <c r="AC804" s="474"/>
      <c r="AH804" s="475"/>
      <c r="AI804" s="476"/>
      <c r="AJ804" s="475"/>
      <c r="AP804" s="476"/>
      <c r="AT804" s="477"/>
      <c r="AU804" s="477"/>
      <c r="AV804" s="470"/>
      <c r="AX804" s="478"/>
    </row>
    <row r="805" ht="15.75" customHeight="1">
      <c r="C805" s="470"/>
      <c r="E805" s="471"/>
      <c r="O805" s="472"/>
      <c r="Z805" s="473"/>
      <c r="AC805" s="474"/>
      <c r="AH805" s="475"/>
      <c r="AI805" s="476"/>
      <c r="AJ805" s="475"/>
      <c r="AP805" s="476"/>
      <c r="AT805" s="477"/>
      <c r="AU805" s="477"/>
      <c r="AV805" s="470"/>
      <c r="AX805" s="478"/>
    </row>
    <row r="806" ht="15.75" customHeight="1">
      <c r="C806" s="470"/>
      <c r="E806" s="471"/>
      <c r="O806" s="472"/>
      <c r="Z806" s="473"/>
      <c r="AC806" s="474"/>
      <c r="AH806" s="475"/>
      <c r="AI806" s="476"/>
      <c r="AJ806" s="475"/>
      <c r="AP806" s="476"/>
      <c r="AT806" s="477"/>
      <c r="AU806" s="477"/>
      <c r="AV806" s="470"/>
      <c r="AX806" s="478"/>
    </row>
    <row r="807" ht="15.75" customHeight="1">
      <c r="C807" s="470"/>
      <c r="E807" s="471"/>
      <c r="O807" s="472"/>
      <c r="Z807" s="473"/>
      <c r="AC807" s="474"/>
      <c r="AH807" s="475"/>
      <c r="AI807" s="476"/>
      <c r="AJ807" s="475"/>
      <c r="AP807" s="476"/>
      <c r="AT807" s="477"/>
      <c r="AU807" s="477"/>
      <c r="AV807" s="470"/>
      <c r="AX807" s="478"/>
    </row>
    <row r="808" ht="15.75" customHeight="1">
      <c r="C808" s="470"/>
      <c r="E808" s="471"/>
      <c r="O808" s="472"/>
      <c r="Z808" s="473"/>
      <c r="AC808" s="474"/>
      <c r="AH808" s="475"/>
      <c r="AI808" s="476"/>
      <c r="AJ808" s="475"/>
      <c r="AP808" s="476"/>
      <c r="AT808" s="477"/>
      <c r="AU808" s="477"/>
      <c r="AV808" s="470"/>
      <c r="AX808" s="478"/>
    </row>
    <row r="809" ht="15.75" customHeight="1">
      <c r="C809" s="470"/>
      <c r="E809" s="471"/>
      <c r="O809" s="472"/>
      <c r="Z809" s="473"/>
      <c r="AC809" s="474"/>
      <c r="AH809" s="475"/>
      <c r="AI809" s="476"/>
      <c r="AJ809" s="475"/>
      <c r="AP809" s="476"/>
      <c r="AT809" s="477"/>
      <c r="AU809" s="477"/>
      <c r="AV809" s="470"/>
      <c r="AX809" s="478"/>
    </row>
    <row r="810" ht="15.75" customHeight="1">
      <c r="C810" s="470"/>
      <c r="E810" s="471"/>
      <c r="O810" s="472"/>
      <c r="Z810" s="473"/>
      <c r="AC810" s="474"/>
      <c r="AH810" s="475"/>
      <c r="AI810" s="476"/>
      <c r="AJ810" s="475"/>
      <c r="AP810" s="476"/>
      <c r="AT810" s="477"/>
      <c r="AU810" s="477"/>
      <c r="AV810" s="470"/>
      <c r="AX810" s="478"/>
    </row>
    <row r="811" ht="15.75" customHeight="1">
      <c r="C811" s="470"/>
      <c r="E811" s="471"/>
      <c r="O811" s="472"/>
      <c r="Z811" s="473"/>
      <c r="AC811" s="474"/>
      <c r="AH811" s="475"/>
      <c r="AI811" s="476"/>
      <c r="AJ811" s="475"/>
      <c r="AP811" s="476"/>
      <c r="AT811" s="477"/>
      <c r="AU811" s="477"/>
      <c r="AV811" s="470"/>
      <c r="AX811" s="478"/>
    </row>
    <row r="812" ht="15.75" customHeight="1">
      <c r="C812" s="470"/>
      <c r="E812" s="471"/>
      <c r="O812" s="472"/>
      <c r="Z812" s="473"/>
      <c r="AC812" s="474"/>
      <c r="AH812" s="475"/>
      <c r="AI812" s="476"/>
      <c r="AJ812" s="475"/>
      <c r="AP812" s="476"/>
      <c r="AT812" s="477"/>
      <c r="AU812" s="477"/>
      <c r="AV812" s="470"/>
      <c r="AX812" s="478"/>
    </row>
    <row r="813" ht="15.75" customHeight="1">
      <c r="C813" s="470"/>
      <c r="E813" s="471"/>
      <c r="O813" s="472"/>
      <c r="Z813" s="473"/>
      <c r="AC813" s="474"/>
      <c r="AH813" s="475"/>
      <c r="AI813" s="476"/>
      <c r="AJ813" s="475"/>
      <c r="AP813" s="476"/>
      <c r="AT813" s="477"/>
      <c r="AU813" s="477"/>
      <c r="AV813" s="470"/>
      <c r="AX813" s="478"/>
    </row>
    <row r="814" ht="15.75" customHeight="1">
      <c r="C814" s="470"/>
      <c r="E814" s="471"/>
      <c r="O814" s="472"/>
      <c r="Z814" s="473"/>
      <c r="AC814" s="474"/>
      <c r="AH814" s="475"/>
      <c r="AI814" s="476"/>
      <c r="AJ814" s="475"/>
      <c r="AP814" s="476"/>
      <c r="AT814" s="477"/>
      <c r="AU814" s="477"/>
      <c r="AV814" s="470"/>
      <c r="AX814" s="478"/>
    </row>
    <row r="815" ht="15.75" customHeight="1">
      <c r="C815" s="470"/>
      <c r="E815" s="471"/>
      <c r="O815" s="472"/>
      <c r="Z815" s="473"/>
      <c r="AC815" s="474"/>
      <c r="AH815" s="475"/>
      <c r="AI815" s="476"/>
      <c r="AJ815" s="475"/>
      <c r="AP815" s="476"/>
      <c r="AT815" s="477"/>
      <c r="AU815" s="477"/>
      <c r="AV815" s="470"/>
      <c r="AX815" s="478"/>
    </row>
    <row r="816" ht="15.75" customHeight="1">
      <c r="C816" s="470"/>
      <c r="E816" s="471"/>
      <c r="O816" s="472"/>
      <c r="Z816" s="473"/>
      <c r="AC816" s="474"/>
      <c r="AH816" s="475"/>
      <c r="AI816" s="476"/>
      <c r="AJ816" s="475"/>
      <c r="AP816" s="476"/>
      <c r="AT816" s="477"/>
      <c r="AU816" s="477"/>
      <c r="AV816" s="470"/>
      <c r="AX816" s="478"/>
    </row>
    <row r="817" ht="15.75" customHeight="1">
      <c r="C817" s="470"/>
      <c r="E817" s="471"/>
      <c r="O817" s="472"/>
      <c r="Z817" s="473"/>
      <c r="AC817" s="474"/>
      <c r="AH817" s="475"/>
      <c r="AI817" s="476"/>
      <c r="AJ817" s="475"/>
      <c r="AP817" s="476"/>
      <c r="AT817" s="477"/>
      <c r="AU817" s="477"/>
      <c r="AV817" s="470"/>
      <c r="AX817" s="478"/>
    </row>
    <row r="818" ht="15.75" customHeight="1">
      <c r="C818" s="470"/>
      <c r="E818" s="471"/>
      <c r="O818" s="472"/>
      <c r="Z818" s="473"/>
      <c r="AC818" s="474"/>
      <c r="AH818" s="475"/>
      <c r="AI818" s="476"/>
      <c r="AJ818" s="475"/>
      <c r="AP818" s="476"/>
      <c r="AT818" s="477"/>
      <c r="AU818" s="477"/>
      <c r="AV818" s="470"/>
      <c r="AX818" s="478"/>
    </row>
    <row r="819" ht="15.75" customHeight="1">
      <c r="C819" s="470"/>
      <c r="E819" s="471"/>
      <c r="O819" s="472"/>
      <c r="Z819" s="473"/>
      <c r="AC819" s="474"/>
      <c r="AH819" s="475"/>
      <c r="AI819" s="476"/>
      <c r="AJ819" s="475"/>
      <c r="AP819" s="476"/>
      <c r="AT819" s="477"/>
      <c r="AU819" s="477"/>
      <c r="AV819" s="470"/>
      <c r="AX819" s="478"/>
    </row>
    <row r="820" ht="15.75" customHeight="1">
      <c r="C820" s="470"/>
      <c r="E820" s="471"/>
      <c r="O820" s="472"/>
      <c r="Z820" s="473"/>
      <c r="AC820" s="474"/>
      <c r="AH820" s="475"/>
      <c r="AI820" s="476"/>
      <c r="AJ820" s="475"/>
      <c r="AP820" s="476"/>
      <c r="AT820" s="477"/>
      <c r="AU820" s="477"/>
      <c r="AV820" s="470"/>
      <c r="AX820" s="478"/>
    </row>
    <row r="821" ht="15.75" customHeight="1">
      <c r="C821" s="470"/>
      <c r="E821" s="471"/>
      <c r="O821" s="472"/>
      <c r="Z821" s="473"/>
      <c r="AC821" s="474"/>
      <c r="AH821" s="475"/>
      <c r="AI821" s="476"/>
      <c r="AJ821" s="475"/>
      <c r="AP821" s="476"/>
      <c r="AT821" s="477"/>
      <c r="AU821" s="477"/>
      <c r="AV821" s="470"/>
      <c r="AX821" s="478"/>
    </row>
    <row r="822" ht="15.75" customHeight="1">
      <c r="C822" s="470"/>
      <c r="E822" s="471"/>
      <c r="O822" s="472"/>
      <c r="Z822" s="473"/>
      <c r="AC822" s="474"/>
      <c r="AH822" s="475"/>
      <c r="AI822" s="476"/>
      <c r="AJ822" s="475"/>
      <c r="AP822" s="476"/>
      <c r="AT822" s="477"/>
      <c r="AU822" s="477"/>
      <c r="AV822" s="470"/>
      <c r="AX822" s="478"/>
    </row>
    <row r="823" ht="15.75" customHeight="1">
      <c r="C823" s="470"/>
      <c r="E823" s="471"/>
      <c r="O823" s="472"/>
      <c r="Z823" s="473"/>
      <c r="AC823" s="474"/>
      <c r="AH823" s="475"/>
      <c r="AI823" s="476"/>
      <c r="AJ823" s="475"/>
      <c r="AP823" s="476"/>
      <c r="AT823" s="477"/>
      <c r="AU823" s="477"/>
      <c r="AV823" s="470"/>
      <c r="AX823" s="478"/>
    </row>
    <row r="824" ht="15.75" customHeight="1">
      <c r="C824" s="470"/>
      <c r="E824" s="471"/>
      <c r="O824" s="472"/>
      <c r="Z824" s="473"/>
      <c r="AC824" s="474"/>
      <c r="AH824" s="475"/>
      <c r="AI824" s="476"/>
      <c r="AJ824" s="475"/>
      <c r="AP824" s="476"/>
      <c r="AT824" s="477"/>
      <c r="AU824" s="477"/>
      <c r="AV824" s="470"/>
      <c r="AX824" s="478"/>
    </row>
    <row r="825" ht="15.75" customHeight="1">
      <c r="C825" s="470"/>
      <c r="E825" s="471"/>
      <c r="O825" s="472"/>
      <c r="Z825" s="473"/>
      <c r="AC825" s="474"/>
      <c r="AH825" s="475"/>
      <c r="AI825" s="476"/>
      <c r="AJ825" s="475"/>
      <c r="AP825" s="476"/>
      <c r="AT825" s="477"/>
      <c r="AU825" s="477"/>
      <c r="AV825" s="470"/>
      <c r="AX825" s="478"/>
    </row>
    <row r="826" ht="15.75" customHeight="1">
      <c r="C826" s="470"/>
      <c r="E826" s="471"/>
      <c r="O826" s="472"/>
      <c r="Z826" s="473"/>
      <c r="AC826" s="474"/>
      <c r="AH826" s="475"/>
      <c r="AI826" s="476"/>
      <c r="AJ826" s="475"/>
      <c r="AP826" s="476"/>
      <c r="AT826" s="477"/>
      <c r="AU826" s="477"/>
      <c r="AV826" s="470"/>
      <c r="AX826" s="478"/>
    </row>
    <row r="827" ht="15.75" customHeight="1">
      <c r="C827" s="470"/>
      <c r="E827" s="471"/>
      <c r="O827" s="472"/>
      <c r="Z827" s="473"/>
      <c r="AC827" s="474"/>
      <c r="AH827" s="475"/>
      <c r="AI827" s="476"/>
      <c r="AJ827" s="475"/>
      <c r="AP827" s="476"/>
      <c r="AT827" s="477"/>
      <c r="AU827" s="477"/>
      <c r="AV827" s="470"/>
      <c r="AX827" s="478"/>
    </row>
    <row r="828" ht="15.75" customHeight="1">
      <c r="C828" s="470"/>
      <c r="E828" s="471"/>
      <c r="O828" s="472"/>
      <c r="Z828" s="473"/>
      <c r="AC828" s="474"/>
      <c r="AH828" s="475"/>
      <c r="AI828" s="476"/>
      <c r="AJ828" s="475"/>
      <c r="AP828" s="476"/>
      <c r="AT828" s="477"/>
      <c r="AU828" s="477"/>
      <c r="AV828" s="470"/>
      <c r="AX828" s="478"/>
    </row>
    <row r="829" ht="15.75" customHeight="1">
      <c r="C829" s="470"/>
      <c r="E829" s="471"/>
      <c r="O829" s="472"/>
      <c r="Z829" s="473"/>
      <c r="AC829" s="474"/>
      <c r="AH829" s="475"/>
      <c r="AI829" s="476"/>
      <c r="AJ829" s="475"/>
      <c r="AP829" s="476"/>
      <c r="AT829" s="477"/>
      <c r="AU829" s="477"/>
      <c r="AV829" s="470"/>
      <c r="AX829" s="478"/>
    </row>
    <row r="830" ht="15.75" customHeight="1">
      <c r="C830" s="470"/>
      <c r="E830" s="471"/>
      <c r="O830" s="472"/>
      <c r="Z830" s="473"/>
      <c r="AC830" s="474"/>
      <c r="AH830" s="475"/>
      <c r="AI830" s="476"/>
      <c r="AJ830" s="475"/>
      <c r="AP830" s="476"/>
      <c r="AT830" s="477"/>
      <c r="AU830" s="477"/>
      <c r="AV830" s="470"/>
      <c r="AX830" s="478"/>
    </row>
    <row r="831" ht="15.75" customHeight="1">
      <c r="C831" s="470"/>
      <c r="E831" s="471"/>
      <c r="O831" s="472"/>
      <c r="Z831" s="473"/>
      <c r="AC831" s="474"/>
      <c r="AH831" s="475"/>
      <c r="AI831" s="476"/>
      <c r="AJ831" s="475"/>
      <c r="AP831" s="476"/>
      <c r="AT831" s="477"/>
      <c r="AU831" s="477"/>
      <c r="AV831" s="470"/>
      <c r="AX831" s="478"/>
    </row>
    <row r="832" ht="15.75" customHeight="1">
      <c r="C832" s="470"/>
      <c r="E832" s="471"/>
      <c r="O832" s="472"/>
      <c r="Z832" s="473"/>
      <c r="AC832" s="474"/>
      <c r="AH832" s="475"/>
      <c r="AI832" s="476"/>
      <c r="AJ832" s="475"/>
      <c r="AP832" s="476"/>
      <c r="AT832" s="477"/>
      <c r="AU832" s="477"/>
      <c r="AV832" s="470"/>
      <c r="AX832" s="478"/>
    </row>
    <row r="833" ht="15.75" customHeight="1">
      <c r="C833" s="470"/>
      <c r="E833" s="471"/>
      <c r="O833" s="472"/>
      <c r="Z833" s="473"/>
      <c r="AC833" s="474"/>
      <c r="AH833" s="475"/>
      <c r="AI833" s="476"/>
      <c r="AJ833" s="475"/>
      <c r="AP833" s="476"/>
      <c r="AT833" s="477"/>
      <c r="AU833" s="477"/>
      <c r="AV833" s="470"/>
      <c r="AX833" s="478"/>
    </row>
    <row r="834" ht="15.75" customHeight="1">
      <c r="C834" s="470"/>
      <c r="E834" s="471"/>
      <c r="O834" s="472"/>
      <c r="Z834" s="473"/>
      <c r="AC834" s="474"/>
      <c r="AH834" s="475"/>
      <c r="AI834" s="476"/>
      <c r="AJ834" s="475"/>
      <c r="AP834" s="476"/>
      <c r="AT834" s="477"/>
      <c r="AU834" s="477"/>
      <c r="AV834" s="470"/>
      <c r="AX834" s="478"/>
    </row>
    <row r="835" ht="15.75" customHeight="1">
      <c r="C835" s="470"/>
      <c r="E835" s="471"/>
      <c r="O835" s="472"/>
      <c r="Z835" s="473"/>
      <c r="AC835" s="474"/>
      <c r="AH835" s="475"/>
      <c r="AI835" s="476"/>
      <c r="AJ835" s="475"/>
      <c r="AP835" s="476"/>
      <c r="AT835" s="477"/>
      <c r="AU835" s="477"/>
      <c r="AV835" s="470"/>
      <c r="AX835" s="478"/>
    </row>
    <row r="836" ht="15.75" customHeight="1">
      <c r="C836" s="470"/>
      <c r="E836" s="471"/>
      <c r="O836" s="472"/>
      <c r="Z836" s="473"/>
      <c r="AC836" s="474"/>
      <c r="AH836" s="475"/>
      <c r="AI836" s="476"/>
      <c r="AJ836" s="475"/>
      <c r="AP836" s="476"/>
      <c r="AT836" s="477"/>
      <c r="AU836" s="477"/>
      <c r="AV836" s="470"/>
      <c r="AX836" s="478"/>
    </row>
    <row r="837" ht="15.75" customHeight="1">
      <c r="C837" s="470"/>
      <c r="E837" s="471"/>
      <c r="O837" s="472"/>
      <c r="Z837" s="473"/>
      <c r="AC837" s="474"/>
      <c r="AH837" s="475"/>
      <c r="AI837" s="476"/>
      <c r="AJ837" s="475"/>
      <c r="AP837" s="476"/>
      <c r="AT837" s="477"/>
      <c r="AU837" s="477"/>
      <c r="AV837" s="470"/>
      <c r="AX837" s="478"/>
    </row>
    <row r="838" ht="15.75" customHeight="1">
      <c r="C838" s="470"/>
      <c r="E838" s="471"/>
      <c r="O838" s="472"/>
      <c r="Z838" s="473"/>
      <c r="AC838" s="474"/>
      <c r="AH838" s="475"/>
      <c r="AI838" s="476"/>
      <c r="AJ838" s="475"/>
      <c r="AP838" s="476"/>
      <c r="AT838" s="477"/>
      <c r="AU838" s="477"/>
      <c r="AV838" s="470"/>
      <c r="AX838" s="478"/>
    </row>
    <row r="839" ht="15.75" customHeight="1">
      <c r="C839" s="470"/>
      <c r="E839" s="471"/>
      <c r="O839" s="472"/>
      <c r="Z839" s="473"/>
      <c r="AC839" s="474"/>
      <c r="AH839" s="475"/>
      <c r="AI839" s="476"/>
      <c r="AJ839" s="475"/>
      <c r="AP839" s="476"/>
      <c r="AT839" s="477"/>
      <c r="AU839" s="477"/>
      <c r="AV839" s="470"/>
      <c r="AX839" s="478"/>
    </row>
    <row r="840" ht="15.75" customHeight="1">
      <c r="C840" s="470"/>
      <c r="E840" s="471"/>
      <c r="O840" s="472"/>
      <c r="Z840" s="473"/>
      <c r="AC840" s="474"/>
      <c r="AH840" s="475"/>
      <c r="AI840" s="476"/>
      <c r="AJ840" s="475"/>
      <c r="AP840" s="476"/>
      <c r="AT840" s="477"/>
      <c r="AU840" s="477"/>
      <c r="AV840" s="470"/>
      <c r="AX840" s="478"/>
    </row>
    <row r="841" ht="15.75" customHeight="1">
      <c r="C841" s="470"/>
      <c r="E841" s="471"/>
      <c r="O841" s="472"/>
      <c r="Z841" s="473"/>
      <c r="AC841" s="474"/>
      <c r="AH841" s="475"/>
      <c r="AI841" s="476"/>
      <c r="AJ841" s="475"/>
      <c r="AP841" s="476"/>
      <c r="AT841" s="477"/>
      <c r="AU841" s="477"/>
      <c r="AV841" s="470"/>
      <c r="AX841" s="478"/>
    </row>
    <row r="842" ht="15.75" customHeight="1">
      <c r="C842" s="470"/>
      <c r="E842" s="471"/>
      <c r="O842" s="472"/>
      <c r="Z842" s="473"/>
      <c r="AC842" s="474"/>
      <c r="AH842" s="475"/>
      <c r="AI842" s="476"/>
      <c r="AJ842" s="475"/>
      <c r="AP842" s="476"/>
      <c r="AT842" s="477"/>
      <c r="AU842" s="477"/>
      <c r="AV842" s="470"/>
      <c r="AX842" s="478"/>
    </row>
    <row r="843" ht="15.75" customHeight="1">
      <c r="C843" s="470"/>
      <c r="E843" s="471"/>
      <c r="O843" s="472"/>
      <c r="Z843" s="473"/>
      <c r="AC843" s="474"/>
      <c r="AH843" s="475"/>
      <c r="AI843" s="476"/>
      <c r="AJ843" s="475"/>
      <c r="AP843" s="476"/>
      <c r="AT843" s="477"/>
      <c r="AU843" s="477"/>
      <c r="AV843" s="470"/>
      <c r="AX843" s="478"/>
    </row>
    <row r="844" ht="15.75" customHeight="1">
      <c r="C844" s="470"/>
      <c r="E844" s="471"/>
      <c r="O844" s="472"/>
      <c r="Z844" s="473"/>
      <c r="AC844" s="474"/>
      <c r="AH844" s="475"/>
      <c r="AI844" s="476"/>
      <c r="AJ844" s="475"/>
      <c r="AP844" s="476"/>
      <c r="AT844" s="477"/>
      <c r="AU844" s="477"/>
      <c r="AV844" s="470"/>
      <c r="AX844" s="478"/>
    </row>
    <row r="845" ht="15.75" customHeight="1">
      <c r="C845" s="470"/>
      <c r="E845" s="471"/>
      <c r="O845" s="472"/>
      <c r="Z845" s="473"/>
      <c r="AC845" s="474"/>
      <c r="AH845" s="475"/>
      <c r="AI845" s="476"/>
      <c r="AJ845" s="475"/>
      <c r="AP845" s="476"/>
      <c r="AT845" s="477"/>
      <c r="AU845" s="477"/>
      <c r="AV845" s="470"/>
      <c r="AX845" s="478"/>
    </row>
    <row r="846" ht="15.75" customHeight="1">
      <c r="C846" s="470"/>
      <c r="E846" s="471"/>
      <c r="O846" s="472"/>
      <c r="Z846" s="473"/>
      <c r="AC846" s="474"/>
      <c r="AH846" s="475"/>
      <c r="AI846" s="476"/>
      <c r="AJ846" s="475"/>
      <c r="AP846" s="476"/>
      <c r="AT846" s="477"/>
      <c r="AU846" s="477"/>
      <c r="AV846" s="470"/>
      <c r="AX846" s="478"/>
    </row>
    <row r="847" ht="15.75" customHeight="1">
      <c r="C847" s="470"/>
      <c r="E847" s="471"/>
      <c r="O847" s="472"/>
      <c r="Z847" s="473"/>
      <c r="AC847" s="474"/>
      <c r="AH847" s="475"/>
      <c r="AI847" s="476"/>
      <c r="AJ847" s="475"/>
      <c r="AP847" s="476"/>
      <c r="AT847" s="477"/>
      <c r="AU847" s="477"/>
      <c r="AV847" s="470"/>
      <c r="AX847" s="478"/>
    </row>
    <row r="848" ht="15.75" customHeight="1">
      <c r="C848" s="470"/>
      <c r="E848" s="471"/>
      <c r="O848" s="472"/>
      <c r="Z848" s="473"/>
      <c r="AC848" s="474"/>
      <c r="AH848" s="475"/>
      <c r="AI848" s="476"/>
      <c r="AJ848" s="475"/>
      <c r="AP848" s="476"/>
      <c r="AT848" s="477"/>
      <c r="AU848" s="477"/>
      <c r="AV848" s="470"/>
      <c r="AX848" s="478"/>
    </row>
    <row r="849" ht="15.75" customHeight="1">
      <c r="C849" s="470"/>
      <c r="E849" s="471"/>
      <c r="O849" s="472"/>
      <c r="Z849" s="473"/>
      <c r="AC849" s="474"/>
      <c r="AH849" s="475"/>
      <c r="AI849" s="476"/>
      <c r="AJ849" s="475"/>
      <c r="AP849" s="476"/>
      <c r="AT849" s="477"/>
      <c r="AU849" s="477"/>
      <c r="AV849" s="470"/>
      <c r="AX849" s="478"/>
    </row>
    <row r="850" ht="15.75" customHeight="1">
      <c r="C850" s="470"/>
      <c r="E850" s="471"/>
      <c r="O850" s="472"/>
      <c r="Z850" s="473"/>
      <c r="AC850" s="474"/>
      <c r="AH850" s="475"/>
      <c r="AI850" s="476"/>
      <c r="AJ850" s="475"/>
      <c r="AP850" s="476"/>
      <c r="AT850" s="477"/>
      <c r="AU850" s="477"/>
      <c r="AV850" s="470"/>
      <c r="AX850" s="478"/>
    </row>
    <row r="851" ht="15.75" customHeight="1">
      <c r="C851" s="470"/>
      <c r="E851" s="471"/>
      <c r="O851" s="472"/>
      <c r="Z851" s="473"/>
      <c r="AC851" s="474"/>
      <c r="AH851" s="475"/>
      <c r="AI851" s="476"/>
      <c r="AJ851" s="475"/>
      <c r="AP851" s="476"/>
      <c r="AT851" s="477"/>
      <c r="AU851" s="477"/>
      <c r="AV851" s="470"/>
      <c r="AX851" s="478"/>
    </row>
    <row r="852" ht="15.75" customHeight="1">
      <c r="C852" s="470"/>
      <c r="E852" s="471"/>
      <c r="O852" s="472"/>
      <c r="Z852" s="473"/>
      <c r="AC852" s="474"/>
      <c r="AH852" s="475"/>
      <c r="AI852" s="476"/>
      <c r="AJ852" s="475"/>
      <c r="AP852" s="476"/>
      <c r="AT852" s="477"/>
      <c r="AU852" s="477"/>
      <c r="AV852" s="470"/>
      <c r="AX852" s="478"/>
    </row>
    <row r="853" ht="15.75" customHeight="1">
      <c r="C853" s="470"/>
      <c r="E853" s="471"/>
      <c r="O853" s="472"/>
      <c r="Z853" s="473"/>
      <c r="AC853" s="474"/>
      <c r="AH853" s="475"/>
      <c r="AI853" s="476"/>
      <c r="AJ853" s="475"/>
      <c r="AP853" s="476"/>
      <c r="AT853" s="477"/>
      <c r="AU853" s="477"/>
      <c r="AV853" s="470"/>
      <c r="AX853" s="478"/>
    </row>
    <row r="854" ht="15.75" customHeight="1">
      <c r="C854" s="470"/>
      <c r="E854" s="471"/>
      <c r="O854" s="472"/>
      <c r="Z854" s="473"/>
      <c r="AC854" s="474"/>
      <c r="AH854" s="475"/>
      <c r="AI854" s="476"/>
      <c r="AJ854" s="475"/>
      <c r="AP854" s="476"/>
      <c r="AT854" s="477"/>
      <c r="AU854" s="477"/>
      <c r="AV854" s="470"/>
      <c r="AX854" s="478"/>
    </row>
    <row r="855" ht="15.75" customHeight="1">
      <c r="C855" s="470"/>
      <c r="E855" s="471"/>
      <c r="O855" s="472"/>
      <c r="Z855" s="473"/>
      <c r="AC855" s="474"/>
      <c r="AH855" s="475"/>
      <c r="AI855" s="476"/>
      <c r="AJ855" s="475"/>
      <c r="AP855" s="476"/>
      <c r="AT855" s="477"/>
      <c r="AU855" s="477"/>
      <c r="AV855" s="470"/>
      <c r="AX855" s="478"/>
    </row>
    <row r="856" ht="15.75" customHeight="1">
      <c r="C856" s="470"/>
      <c r="E856" s="471"/>
      <c r="O856" s="472"/>
      <c r="Z856" s="473"/>
      <c r="AC856" s="474"/>
      <c r="AH856" s="475"/>
      <c r="AI856" s="476"/>
      <c r="AJ856" s="475"/>
      <c r="AP856" s="476"/>
      <c r="AT856" s="477"/>
      <c r="AU856" s="477"/>
      <c r="AV856" s="470"/>
      <c r="AX856" s="478"/>
    </row>
    <row r="857" ht="15.75" customHeight="1">
      <c r="C857" s="470"/>
      <c r="E857" s="471"/>
      <c r="O857" s="472"/>
      <c r="Z857" s="473"/>
      <c r="AC857" s="474"/>
      <c r="AH857" s="475"/>
      <c r="AI857" s="476"/>
      <c r="AJ857" s="475"/>
      <c r="AP857" s="476"/>
      <c r="AT857" s="477"/>
      <c r="AU857" s="477"/>
      <c r="AV857" s="470"/>
      <c r="AX857" s="478"/>
    </row>
    <row r="858" ht="15.75" customHeight="1">
      <c r="C858" s="470"/>
      <c r="E858" s="471"/>
      <c r="O858" s="472"/>
      <c r="Z858" s="473"/>
      <c r="AC858" s="474"/>
      <c r="AH858" s="475"/>
      <c r="AI858" s="476"/>
      <c r="AJ858" s="475"/>
      <c r="AP858" s="476"/>
      <c r="AT858" s="477"/>
      <c r="AU858" s="477"/>
      <c r="AV858" s="470"/>
      <c r="AX858" s="478"/>
    </row>
    <row r="859" ht="15.75" customHeight="1">
      <c r="C859" s="470"/>
      <c r="E859" s="471"/>
      <c r="O859" s="472"/>
      <c r="Z859" s="473"/>
      <c r="AC859" s="474"/>
      <c r="AH859" s="475"/>
      <c r="AI859" s="476"/>
      <c r="AJ859" s="475"/>
      <c r="AP859" s="476"/>
      <c r="AT859" s="477"/>
      <c r="AU859" s="477"/>
      <c r="AV859" s="470"/>
      <c r="AX859" s="478"/>
    </row>
    <row r="860" ht="15.75" customHeight="1">
      <c r="C860" s="470"/>
      <c r="E860" s="471"/>
      <c r="O860" s="472"/>
      <c r="Z860" s="473"/>
      <c r="AC860" s="474"/>
      <c r="AH860" s="475"/>
      <c r="AI860" s="476"/>
      <c r="AJ860" s="475"/>
      <c r="AP860" s="476"/>
      <c r="AT860" s="477"/>
      <c r="AU860" s="477"/>
      <c r="AV860" s="470"/>
      <c r="AX860" s="478"/>
    </row>
    <row r="861" ht="15.75" customHeight="1">
      <c r="C861" s="470"/>
      <c r="E861" s="471"/>
      <c r="O861" s="472"/>
      <c r="Z861" s="473"/>
      <c r="AC861" s="474"/>
      <c r="AH861" s="475"/>
      <c r="AI861" s="476"/>
      <c r="AJ861" s="475"/>
      <c r="AP861" s="476"/>
      <c r="AT861" s="477"/>
      <c r="AU861" s="477"/>
      <c r="AV861" s="470"/>
      <c r="AX861" s="478"/>
    </row>
    <row r="862" ht="15.75" customHeight="1">
      <c r="C862" s="470"/>
      <c r="E862" s="471"/>
      <c r="O862" s="472"/>
      <c r="Z862" s="473"/>
      <c r="AC862" s="474"/>
      <c r="AH862" s="475"/>
      <c r="AI862" s="476"/>
      <c r="AJ862" s="475"/>
      <c r="AP862" s="476"/>
      <c r="AT862" s="477"/>
      <c r="AU862" s="477"/>
      <c r="AV862" s="470"/>
      <c r="AX862" s="478"/>
    </row>
    <row r="863" ht="15.75" customHeight="1">
      <c r="C863" s="470"/>
      <c r="E863" s="471"/>
      <c r="O863" s="472"/>
      <c r="Z863" s="473"/>
      <c r="AC863" s="474"/>
      <c r="AH863" s="475"/>
      <c r="AI863" s="476"/>
      <c r="AJ863" s="475"/>
      <c r="AP863" s="476"/>
      <c r="AT863" s="477"/>
      <c r="AU863" s="477"/>
      <c r="AV863" s="470"/>
      <c r="AX863" s="478"/>
    </row>
    <row r="864" ht="15.75" customHeight="1">
      <c r="C864" s="470"/>
      <c r="E864" s="471"/>
      <c r="O864" s="472"/>
      <c r="Z864" s="473"/>
      <c r="AC864" s="474"/>
      <c r="AH864" s="475"/>
      <c r="AI864" s="476"/>
      <c r="AJ864" s="475"/>
      <c r="AP864" s="476"/>
      <c r="AT864" s="477"/>
      <c r="AU864" s="477"/>
      <c r="AV864" s="470"/>
      <c r="AX864" s="478"/>
    </row>
    <row r="865" ht="15.75" customHeight="1">
      <c r="C865" s="470"/>
      <c r="E865" s="471"/>
      <c r="O865" s="472"/>
      <c r="Z865" s="473"/>
      <c r="AC865" s="474"/>
      <c r="AH865" s="475"/>
      <c r="AI865" s="476"/>
      <c r="AJ865" s="475"/>
      <c r="AP865" s="476"/>
      <c r="AT865" s="477"/>
      <c r="AU865" s="477"/>
      <c r="AV865" s="470"/>
      <c r="AX865" s="478"/>
    </row>
    <row r="866" ht="15.75" customHeight="1">
      <c r="C866" s="470"/>
      <c r="E866" s="471"/>
      <c r="O866" s="472"/>
      <c r="Z866" s="473"/>
      <c r="AC866" s="474"/>
      <c r="AH866" s="475"/>
      <c r="AI866" s="476"/>
      <c r="AJ866" s="475"/>
      <c r="AP866" s="476"/>
      <c r="AT866" s="477"/>
      <c r="AU866" s="477"/>
      <c r="AV866" s="470"/>
      <c r="AX866" s="478"/>
    </row>
    <row r="867" ht="15.75" customHeight="1">
      <c r="C867" s="470"/>
      <c r="E867" s="471"/>
      <c r="O867" s="472"/>
      <c r="Z867" s="473"/>
      <c r="AC867" s="474"/>
      <c r="AH867" s="475"/>
      <c r="AI867" s="476"/>
      <c r="AJ867" s="475"/>
      <c r="AP867" s="476"/>
      <c r="AT867" s="477"/>
      <c r="AU867" s="477"/>
      <c r="AV867" s="470"/>
      <c r="AX867" s="478"/>
    </row>
    <row r="868" ht="15.75" customHeight="1">
      <c r="C868" s="470"/>
      <c r="E868" s="471"/>
      <c r="O868" s="472"/>
      <c r="Z868" s="473"/>
      <c r="AC868" s="474"/>
      <c r="AH868" s="475"/>
      <c r="AI868" s="476"/>
      <c r="AJ868" s="475"/>
      <c r="AP868" s="476"/>
      <c r="AT868" s="477"/>
      <c r="AU868" s="477"/>
      <c r="AV868" s="470"/>
      <c r="AX868" s="478"/>
    </row>
    <row r="869" ht="15.75" customHeight="1">
      <c r="C869" s="470"/>
      <c r="E869" s="471"/>
      <c r="O869" s="472"/>
      <c r="Z869" s="473"/>
      <c r="AC869" s="474"/>
      <c r="AH869" s="475"/>
      <c r="AI869" s="476"/>
      <c r="AJ869" s="475"/>
      <c r="AP869" s="476"/>
      <c r="AT869" s="477"/>
      <c r="AU869" s="477"/>
      <c r="AV869" s="470"/>
      <c r="AX869" s="478"/>
    </row>
    <row r="870" ht="15.75" customHeight="1">
      <c r="C870" s="470"/>
      <c r="E870" s="471"/>
      <c r="O870" s="472"/>
      <c r="Z870" s="473"/>
      <c r="AC870" s="474"/>
      <c r="AH870" s="475"/>
      <c r="AI870" s="476"/>
      <c r="AJ870" s="475"/>
      <c r="AP870" s="476"/>
      <c r="AT870" s="477"/>
      <c r="AU870" s="477"/>
      <c r="AV870" s="470"/>
      <c r="AX870" s="478"/>
    </row>
    <row r="871" ht="15.75" customHeight="1">
      <c r="C871" s="470"/>
      <c r="E871" s="471"/>
      <c r="O871" s="472"/>
      <c r="Z871" s="473"/>
      <c r="AC871" s="474"/>
      <c r="AH871" s="475"/>
      <c r="AI871" s="476"/>
      <c r="AJ871" s="475"/>
      <c r="AP871" s="476"/>
      <c r="AT871" s="477"/>
      <c r="AU871" s="477"/>
      <c r="AV871" s="470"/>
      <c r="AX871" s="478"/>
    </row>
    <row r="872" ht="15.75" customHeight="1">
      <c r="C872" s="470"/>
      <c r="E872" s="471"/>
      <c r="O872" s="472"/>
      <c r="Z872" s="473"/>
      <c r="AC872" s="474"/>
      <c r="AH872" s="475"/>
      <c r="AI872" s="476"/>
      <c r="AJ872" s="475"/>
      <c r="AP872" s="476"/>
      <c r="AT872" s="477"/>
      <c r="AU872" s="477"/>
      <c r="AV872" s="470"/>
      <c r="AX872" s="478"/>
    </row>
    <row r="873" ht="15.75" customHeight="1">
      <c r="C873" s="470"/>
      <c r="E873" s="471"/>
      <c r="O873" s="472"/>
      <c r="Z873" s="473"/>
      <c r="AC873" s="474"/>
      <c r="AH873" s="475"/>
      <c r="AI873" s="476"/>
      <c r="AJ873" s="475"/>
      <c r="AP873" s="476"/>
      <c r="AT873" s="477"/>
      <c r="AU873" s="477"/>
      <c r="AV873" s="470"/>
      <c r="AX873" s="478"/>
    </row>
    <row r="874" ht="15.75" customHeight="1">
      <c r="C874" s="470"/>
      <c r="E874" s="471"/>
      <c r="O874" s="472"/>
      <c r="Z874" s="473"/>
      <c r="AC874" s="474"/>
      <c r="AH874" s="475"/>
      <c r="AI874" s="476"/>
      <c r="AJ874" s="475"/>
      <c r="AP874" s="476"/>
      <c r="AT874" s="477"/>
      <c r="AU874" s="477"/>
      <c r="AV874" s="470"/>
      <c r="AX874" s="478"/>
    </row>
    <row r="875" ht="15.75" customHeight="1">
      <c r="C875" s="470"/>
      <c r="E875" s="471"/>
      <c r="O875" s="472"/>
      <c r="Z875" s="473"/>
      <c r="AC875" s="474"/>
      <c r="AH875" s="475"/>
      <c r="AI875" s="476"/>
      <c r="AJ875" s="475"/>
      <c r="AP875" s="476"/>
      <c r="AT875" s="477"/>
      <c r="AU875" s="477"/>
      <c r="AV875" s="470"/>
      <c r="AX875" s="478"/>
    </row>
    <row r="876" ht="15.75" customHeight="1">
      <c r="C876" s="470"/>
      <c r="E876" s="471"/>
      <c r="O876" s="472"/>
      <c r="Z876" s="473"/>
      <c r="AC876" s="474"/>
      <c r="AH876" s="475"/>
      <c r="AI876" s="476"/>
      <c r="AJ876" s="475"/>
      <c r="AP876" s="476"/>
      <c r="AT876" s="477"/>
      <c r="AU876" s="477"/>
      <c r="AV876" s="470"/>
      <c r="AX876" s="478"/>
    </row>
    <row r="877" ht="15.75" customHeight="1">
      <c r="C877" s="470"/>
      <c r="E877" s="471"/>
      <c r="O877" s="472"/>
      <c r="Z877" s="473"/>
      <c r="AC877" s="474"/>
      <c r="AH877" s="475"/>
      <c r="AI877" s="476"/>
      <c r="AJ877" s="475"/>
      <c r="AP877" s="476"/>
      <c r="AT877" s="477"/>
      <c r="AU877" s="477"/>
      <c r="AV877" s="470"/>
      <c r="AX877" s="478"/>
    </row>
    <row r="878" ht="15.75" customHeight="1">
      <c r="C878" s="470"/>
      <c r="E878" s="471"/>
      <c r="O878" s="472"/>
      <c r="Z878" s="473"/>
      <c r="AC878" s="474"/>
      <c r="AH878" s="475"/>
      <c r="AI878" s="476"/>
      <c r="AJ878" s="475"/>
      <c r="AP878" s="476"/>
      <c r="AT878" s="477"/>
      <c r="AU878" s="477"/>
      <c r="AV878" s="470"/>
      <c r="AX878" s="478"/>
    </row>
    <row r="879" ht="15.75" customHeight="1">
      <c r="C879" s="470"/>
      <c r="E879" s="471"/>
      <c r="O879" s="472"/>
      <c r="Z879" s="473"/>
      <c r="AC879" s="474"/>
      <c r="AH879" s="475"/>
      <c r="AI879" s="476"/>
      <c r="AJ879" s="475"/>
      <c r="AP879" s="476"/>
      <c r="AT879" s="477"/>
      <c r="AU879" s="477"/>
      <c r="AV879" s="470"/>
      <c r="AX879" s="478"/>
    </row>
    <row r="880" ht="15.75" customHeight="1">
      <c r="C880" s="470"/>
      <c r="E880" s="471"/>
      <c r="O880" s="472"/>
      <c r="Z880" s="473"/>
      <c r="AC880" s="474"/>
      <c r="AH880" s="475"/>
      <c r="AI880" s="476"/>
      <c r="AJ880" s="475"/>
      <c r="AP880" s="476"/>
      <c r="AT880" s="477"/>
      <c r="AU880" s="477"/>
      <c r="AV880" s="470"/>
      <c r="AX880" s="478"/>
    </row>
    <row r="881" ht="15.75" customHeight="1">
      <c r="C881" s="470"/>
      <c r="E881" s="471"/>
      <c r="O881" s="472"/>
      <c r="Z881" s="473"/>
      <c r="AC881" s="474"/>
      <c r="AH881" s="475"/>
      <c r="AI881" s="476"/>
      <c r="AJ881" s="475"/>
      <c r="AP881" s="476"/>
      <c r="AT881" s="477"/>
      <c r="AU881" s="477"/>
      <c r="AV881" s="470"/>
      <c r="AX881" s="478"/>
    </row>
    <row r="882" ht="15.75" customHeight="1">
      <c r="C882" s="470"/>
      <c r="E882" s="471"/>
      <c r="O882" s="472"/>
      <c r="Z882" s="473"/>
      <c r="AC882" s="474"/>
      <c r="AH882" s="475"/>
      <c r="AI882" s="476"/>
      <c r="AJ882" s="475"/>
      <c r="AP882" s="476"/>
      <c r="AT882" s="477"/>
      <c r="AU882" s="477"/>
      <c r="AV882" s="470"/>
      <c r="AX882" s="478"/>
    </row>
    <row r="883" ht="15.75" customHeight="1">
      <c r="C883" s="470"/>
      <c r="E883" s="471"/>
      <c r="O883" s="472"/>
      <c r="Z883" s="473"/>
      <c r="AC883" s="474"/>
      <c r="AH883" s="475"/>
      <c r="AI883" s="476"/>
      <c r="AJ883" s="475"/>
      <c r="AP883" s="476"/>
      <c r="AT883" s="477"/>
      <c r="AU883" s="477"/>
      <c r="AV883" s="470"/>
      <c r="AX883" s="478"/>
    </row>
    <row r="884" ht="15.75" customHeight="1">
      <c r="C884" s="470"/>
      <c r="E884" s="471"/>
      <c r="O884" s="472"/>
      <c r="Z884" s="473"/>
      <c r="AC884" s="474"/>
      <c r="AH884" s="475"/>
      <c r="AI884" s="476"/>
      <c r="AJ884" s="475"/>
      <c r="AP884" s="476"/>
      <c r="AT884" s="477"/>
      <c r="AU884" s="477"/>
      <c r="AV884" s="470"/>
      <c r="AX884" s="478"/>
    </row>
    <row r="885" ht="15.75" customHeight="1">
      <c r="C885" s="470"/>
      <c r="E885" s="471"/>
      <c r="O885" s="472"/>
      <c r="Z885" s="473"/>
      <c r="AC885" s="474"/>
      <c r="AH885" s="475"/>
      <c r="AI885" s="476"/>
      <c r="AJ885" s="475"/>
      <c r="AP885" s="476"/>
      <c r="AT885" s="477"/>
      <c r="AU885" s="477"/>
      <c r="AV885" s="470"/>
      <c r="AX885" s="478"/>
    </row>
    <row r="886" ht="15.75" customHeight="1">
      <c r="C886" s="470"/>
      <c r="E886" s="471"/>
      <c r="O886" s="472"/>
      <c r="Z886" s="473"/>
      <c r="AC886" s="474"/>
      <c r="AH886" s="475"/>
      <c r="AI886" s="476"/>
      <c r="AJ886" s="475"/>
      <c r="AP886" s="476"/>
      <c r="AT886" s="477"/>
      <c r="AU886" s="477"/>
      <c r="AV886" s="470"/>
      <c r="AX886" s="478"/>
    </row>
    <row r="887" ht="15.75" customHeight="1">
      <c r="C887" s="470"/>
      <c r="E887" s="471"/>
      <c r="O887" s="472"/>
      <c r="Z887" s="473"/>
      <c r="AC887" s="474"/>
      <c r="AH887" s="475"/>
      <c r="AI887" s="476"/>
      <c r="AJ887" s="475"/>
      <c r="AP887" s="476"/>
      <c r="AT887" s="477"/>
      <c r="AU887" s="477"/>
      <c r="AV887" s="470"/>
      <c r="AX887" s="478"/>
    </row>
    <row r="888" ht="15.75" customHeight="1">
      <c r="C888" s="470"/>
      <c r="E888" s="471"/>
      <c r="O888" s="472"/>
      <c r="Z888" s="473"/>
      <c r="AC888" s="474"/>
      <c r="AH888" s="475"/>
      <c r="AI888" s="476"/>
      <c r="AJ888" s="475"/>
      <c r="AP888" s="476"/>
      <c r="AT888" s="477"/>
      <c r="AU888" s="477"/>
      <c r="AV888" s="470"/>
      <c r="AX888" s="478"/>
    </row>
    <row r="889" ht="15.75" customHeight="1">
      <c r="C889" s="470"/>
      <c r="E889" s="471"/>
      <c r="O889" s="472"/>
      <c r="Z889" s="473"/>
      <c r="AC889" s="474"/>
      <c r="AH889" s="475"/>
      <c r="AI889" s="476"/>
      <c r="AJ889" s="475"/>
      <c r="AP889" s="476"/>
      <c r="AT889" s="477"/>
      <c r="AU889" s="477"/>
      <c r="AV889" s="470"/>
      <c r="AX889" s="478"/>
    </row>
    <row r="890" ht="15.75" customHeight="1">
      <c r="C890" s="470"/>
      <c r="E890" s="471"/>
      <c r="O890" s="472"/>
      <c r="Z890" s="473"/>
      <c r="AC890" s="474"/>
      <c r="AH890" s="475"/>
      <c r="AI890" s="476"/>
      <c r="AJ890" s="475"/>
      <c r="AP890" s="476"/>
      <c r="AT890" s="477"/>
      <c r="AU890" s="477"/>
      <c r="AV890" s="470"/>
      <c r="AX890" s="478"/>
    </row>
    <row r="891" ht="15.75" customHeight="1">
      <c r="C891" s="470"/>
      <c r="E891" s="471"/>
      <c r="O891" s="472"/>
      <c r="Z891" s="473"/>
      <c r="AC891" s="474"/>
      <c r="AH891" s="475"/>
      <c r="AI891" s="476"/>
      <c r="AJ891" s="475"/>
      <c r="AP891" s="476"/>
      <c r="AT891" s="477"/>
      <c r="AU891" s="477"/>
      <c r="AV891" s="470"/>
      <c r="AX891" s="478"/>
    </row>
    <row r="892" ht="15.75" customHeight="1">
      <c r="C892" s="470"/>
      <c r="E892" s="471"/>
      <c r="O892" s="472"/>
      <c r="Z892" s="473"/>
      <c r="AC892" s="474"/>
      <c r="AH892" s="475"/>
      <c r="AI892" s="476"/>
      <c r="AJ892" s="475"/>
      <c r="AP892" s="476"/>
      <c r="AT892" s="477"/>
      <c r="AU892" s="477"/>
      <c r="AV892" s="470"/>
      <c r="AX892" s="478"/>
    </row>
    <row r="893" ht="15.75" customHeight="1">
      <c r="C893" s="470"/>
      <c r="E893" s="471"/>
      <c r="O893" s="472"/>
      <c r="Z893" s="473"/>
      <c r="AC893" s="474"/>
      <c r="AH893" s="475"/>
      <c r="AI893" s="476"/>
      <c r="AJ893" s="475"/>
      <c r="AP893" s="476"/>
      <c r="AT893" s="477"/>
      <c r="AU893" s="477"/>
      <c r="AV893" s="470"/>
      <c r="AX893" s="478"/>
    </row>
    <row r="894" ht="15.75" customHeight="1">
      <c r="C894" s="470"/>
      <c r="E894" s="471"/>
      <c r="O894" s="472"/>
      <c r="Z894" s="473"/>
      <c r="AC894" s="474"/>
      <c r="AH894" s="475"/>
      <c r="AI894" s="476"/>
      <c r="AJ894" s="475"/>
      <c r="AP894" s="476"/>
      <c r="AT894" s="477"/>
      <c r="AU894" s="477"/>
      <c r="AV894" s="470"/>
      <c r="AX894" s="478"/>
    </row>
    <row r="895" ht="15.75" customHeight="1">
      <c r="C895" s="470"/>
      <c r="E895" s="471"/>
      <c r="O895" s="472"/>
      <c r="Z895" s="473"/>
      <c r="AC895" s="474"/>
      <c r="AH895" s="475"/>
      <c r="AI895" s="476"/>
      <c r="AJ895" s="475"/>
      <c r="AP895" s="476"/>
      <c r="AT895" s="477"/>
      <c r="AU895" s="477"/>
      <c r="AV895" s="470"/>
      <c r="AX895" s="478"/>
    </row>
    <row r="896" ht="15.75" customHeight="1">
      <c r="C896" s="470"/>
      <c r="E896" s="471"/>
      <c r="O896" s="472"/>
      <c r="Z896" s="473"/>
      <c r="AC896" s="474"/>
      <c r="AH896" s="475"/>
      <c r="AI896" s="476"/>
      <c r="AJ896" s="475"/>
      <c r="AP896" s="476"/>
      <c r="AT896" s="477"/>
      <c r="AU896" s="477"/>
      <c r="AV896" s="470"/>
      <c r="AX896" s="478"/>
    </row>
    <row r="897" ht="15.75" customHeight="1">
      <c r="C897" s="470"/>
      <c r="E897" s="471"/>
      <c r="O897" s="472"/>
      <c r="Z897" s="473"/>
      <c r="AC897" s="474"/>
      <c r="AH897" s="475"/>
      <c r="AI897" s="476"/>
      <c r="AJ897" s="475"/>
      <c r="AP897" s="476"/>
      <c r="AT897" s="477"/>
      <c r="AU897" s="477"/>
      <c r="AV897" s="470"/>
      <c r="AX897" s="478"/>
    </row>
    <row r="898" ht="15.75" customHeight="1">
      <c r="C898" s="470"/>
      <c r="E898" s="471"/>
      <c r="O898" s="472"/>
      <c r="Z898" s="473"/>
      <c r="AC898" s="474"/>
      <c r="AH898" s="475"/>
      <c r="AI898" s="476"/>
      <c r="AJ898" s="475"/>
      <c r="AP898" s="476"/>
      <c r="AT898" s="477"/>
      <c r="AU898" s="477"/>
      <c r="AV898" s="470"/>
      <c r="AX898" s="478"/>
    </row>
    <row r="899" ht="15.75" customHeight="1">
      <c r="C899" s="470"/>
      <c r="E899" s="471"/>
      <c r="O899" s="472"/>
      <c r="Z899" s="473"/>
      <c r="AC899" s="474"/>
      <c r="AH899" s="475"/>
      <c r="AI899" s="476"/>
      <c r="AJ899" s="475"/>
      <c r="AP899" s="476"/>
      <c r="AT899" s="477"/>
      <c r="AU899" s="477"/>
      <c r="AV899" s="470"/>
      <c r="AX899" s="478"/>
    </row>
    <row r="900" ht="15.75" customHeight="1">
      <c r="C900" s="470"/>
      <c r="E900" s="471"/>
      <c r="O900" s="472"/>
      <c r="Z900" s="473"/>
      <c r="AC900" s="474"/>
      <c r="AH900" s="475"/>
      <c r="AI900" s="476"/>
      <c r="AJ900" s="475"/>
      <c r="AP900" s="476"/>
      <c r="AT900" s="477"/>
      <c r="AU900" s="477"/>
      <c r="AV900" s="470"/>
      <c r="AX900" s="478"/>
    </row>
    <row r="901" ht="15.75" customHeight="1">
      <c r="C901" s="470"/>
      <c r="E901" s="471"/>
      <c r="O901" s="472"/>
      <c r="Z901" s="473"/>
      <c r="AC901" s="474"/>
      <c r="AH901" s="475"/>
      <c r="AI901" s="476"/>
      <c r="AJ901" s="475"/>
      <c r="AP901" s="476"/>
      <c r="AT901" s="477"/>
      <c r="AU901" s="477"/>
      <c r="AV901" s="470"/>
      <c r="AX901" s="478"/>
    </row>
    <row r="902" ht="15.75" customHeight="1">
      <c r="C902" s="470"/>
      <c r="E902" s="471"/>
      <c r="O902" s="472"/>
      <c r="Z902" s="473"/>
      <c r="AC902" s="474"/>
      <c r="AH902" s="475"/>
      <c r="AI902" s="476"/>
      <c r="AJ902" s="475"/>
      <c r="AP902" s="476"/>
      <c r="AT902" s="477"/>
      <c r="AU902" s="477"/>
      <c r="AV902" s="470"/>
      <c r="AX902" s="478"/>
    </row>
    <row r="903" ht="15.75" customHeight="1">
      <c r="C903" s="470"/>
      <c r="E903" s="471"/>
      <c r="O903" s="472"/>
      <c r="Z903" s="473"/>
      <c r="AC903" s="474"/>
      <c r="AH903" s="475"/>
      <c r="AI903" s="476"/>
      <c r="AJ903" s="475"/>
      <c r="AP903" s="476"/>
      <c r="AT903" s="477"/>
      <c r="AU903" s="477"/>
      <c r="AV903" s="470"/>
      <c r="AX903" s="478"/>
    </row>
    <row r="904" ht="15.75" customHeight="1">
      <c r="C904" s="470"/>
      <c r="E904" s="471"/>
      <c r="O904" s="472"/>
      <c r="Z904" s="473"/>
      <c r="AC904" s="474"/>
      <c r="AH904" s="475"/>
      <c r="AI904" s="476"/>
      <c r="AJ904" s="475"/>
      <c r="AP904" s="476"/>
      <c r="AT904" s="477"/>
      <c r="AU904" s="477"/>
      <c r="AV904" s="470"/>
      <c r="AX904" s="478"/>
    </row>
    <row r="905" ht="15.75" customHeight="1">
      <c r="C905" s="470"/>
      <c r="E905" s="471"/>
      <c r="O905" s="472"/>
      <c r="Z905" s="473"/>
      <c r="AC905" s="474"/>
      <c r="AH905" s="475"/>
      <c r="AI905" s="476"/>
      <c r="AJ905" s="475"/>
      <c r="AP905" s="476"/>
      <c r="AT905" s="477"/>
      <c r="AU905" s="477"/>
      <c r="AV905" s="470"/>
      <c r="AX905" s="478"/>
    </row>
    <row r="906" ht="15.75" customHeight="1">
      <c r="C906" s="470"/>
      <c r="E906" s="471"/>
      <c r="O906" s="472"/>
      <c r="Z906" s="473"/>
      <c r="AC906" s="474"/>
      <c r="AH906" s="475"/>
      <c r="AI906" s="476"/>
      <c r="AJ906" s="475"/>
      <c r="AP906" s="476"/>
      <c r="AT906" s="477"/>
      <c r="AU906" s="477"/>
      <c r="AV906" s="470"/>
      <c r="AX906" s="478"/>
    </row>
    <row r="907" ht="15.75" customHeight="1">
      <c r="C907" s="470"/>
      <c r="E907" s="471"/>
      <c r="O907" s="472"/>
      <c r="Z907" s="473"/>
      <c r="AC907" s="474"/>
      <c r="AH907" s="475"/>
      <c r="AI907" s="476"/>
      <c r="AJ907" s="475"/>
      <c r="AP907" s="476"/>
      <c r="AT907" s="477"/>
      <c r="AU907" s="477"/>
      <c r="AV907" s="470"/>
      <c r="AX907" s="478"/>
    </row>
    <row r="908" ht="15.75" customHeight="1">
      <c r="C908" s="470"/>
      <c r="E908" s="471"/>
      <c r="O908" s="472"/>
      <c r="Z908" s="473"/>
      <c r="AC908" s="474"/>
      <c r="AH908" s="475"/>
      <c r="AI908" s="476"/>
      <c r="AJ908" s="475"/>
      <c r="AP908" s="476"/>
      <c r="AT908" s="477"/>
      <c r="AU908" s="477"/>
      <c r="AV908" s="470"/>
      <c r="AX908" s="478"/>
    </row>
    <row r="909" ht="15.75" customHeight="1">
      <c r="C909" s="470"/>
      <c r="E909" s="471"/>
      <c r="O909" s="472"/>
      <c r="Z909" s="473"/>
      <c r="AC909" s="474"/>
      <c r="AH909" s="475"/>
      <c r="AI909" s="476"/>
      <c r="AJ909" s="475"/>
      <c r="AP909" s="476"/>
      <c r="AT909" s="477"/>
      <c r="AU909" s="477"/>
      <c r="AV909" s="470"/>
      <c r="AX909" s="478"/>
    </row>
    <row r="910" ht="15.75" customHeight="1">
      <c r="C910" s="470"/>
      <c r="E910" s="471"/>
      <c r="O910" s="472"/>
      <c r="Z910" s="473"/>
      <c r="AC910" s="474"/>
      <c r="AH910" s="475"/>
      <c r="AI910" s="476"/>
      <c r="AJ910" s="475"/>
      <c r="AP910" s="476"/>
      <c r="AT910" s="477"/>
      <c r="AU910" s="477"/>
      <c r="AV910" s="470"/>
      <c r="AX910" s="478"/>
    </row>
    <row r="911" ht="15.75" customHeight="1">
      <c r="C911" s="470"/>
      <c r="E911" s="471"/>
      <c r="O911" s="472"/>
      <c r="Z911" s="473"/>
      <c r="AC911" s="474"/>
      <c r="AH911" s="475"/>
      <c r="AI911" s="476"/>
      <c r="AJ911" s="475"/>
      <c r="AP911" s="476"/>
      <c r="AT911" s="477"/>
      <c r="AU911" s="477"/>
      <c r="AV911" s="470"/>
      <c r="AX911" s="478"/>
    </row>
    <row r="912" ht="15.75" customHeight="1">
      <c r="C912" s="470"/>
      <c r="E912" s="471"/>
      <c r="O912" s="472"/>
      <c r="Z912" s="473"/>
      <c r="AC912" s="474"/>
      <c r="AH912" s="475"/>
      <c r="AI912" s="476"/>
      <c r="AJ912" s="475"/>
      <c r="AP912" s="476"/>
      <c r="AT912" s="477"/>
      <c r="AU912" s="477"/>
      <c r="AV912" s="470"/>
      <c r="AX912" s="478"/>
    </row>
    <row r="913" ht="15.75" customHeight="1">
      <c r="C913" s="470"/>
      <c r="E913" s="471"/>
      <c r="O913" s="472"/>
      <c r="Z913" s="473"/>
      <c r="AC913" s="474"/>
      <c r="AH913" s="475"/>
      <c r="AI913" s="476"/>
      <c r="AJ913" s="475"/>
      <c r="AP913" s="476"/>
      <c r="AT913" s="477"/>
      <c r="AU913" s="477"/>
      <c r="AV913" s="470"/>
      <c r="AX913" s="478"/>
    </row>
    <row r="914" ht="15.75" customHeight="1">
      <c r="C914" s="470"/>
      <c r="E914" s="471"/>
      <c r="O914" s="472"/>
      <c r="Z914" s="473"/>
      <c r="AC914" s="474"/>
      <c r="AH914" s="475"/>
      <c r="AI914" s="476"/>
      <c r="AJ914" s="475"/>
      <c r="AP914" s="476"/>
      <c r="AT914" s="477"/>
      <c r="AU914" s="477"/>
      <c r="AV914" s="470"/>
      <c r="AX914" s="478"/>
    </row>
    <row r="915" ht="15.75" customHeight="1">
      <c r="C915" s="470"/>
      <c r="E915" s="471"/>
      <c r="O915" s="472"/>
      <c r="Z915" s="473"/>
      <c r="AC915" s="474"/>
      <c r="AH915" s="475"/>
      <c r="AI915" s="476"/>
      <c r="AJ915" s="475"/>
      <c r="AP915" s="476"/>
      <c r="AT915" s="477"/>
      <c r="AU915" s="477"/>
      <c r="AV915" s="470"/>
      <c r="AX915" s="478"/>
    </row>
    <row r="916" ht="15.75" customHeight="1">
      <c r="C916" s="470"/>
      <c r="E916" s="471"/>
      <c r="O916" s="472"/>
      <c r="Z916" s="473"/>
      <c r="AC916" s="474"/>
      <c r="AH916" s="475"/>
      <c r="AI916" s="476"/>
      <c r="AJ916" s="475"/>
      <c r="AP916" s="476"/>
      <c r="AT916" s="477"/>
      <c r="AU916" s="477"/>
      <c r="AV916" s="470"/>
      <c r="AX916" s="478"/>
    </row>
    <row r="917" ht="15.75" customHeight="1">
      <c r="C917" s="470"/>
      <c r="E917" s="471"/>
      <c r="O917" s="472"/>
      <c r="Z917" s="473"/>
      <c r="AC917" s="474"/>
      <c r="AH917" s="475"/>
      <c r="AI917" s="476"/>
      <c r="AJ917" s="475"/>
      <c r="AP917" s="476"/>
      <c r="AT917" s="477"/>
      <c r="AU917" s="477"/>
      <c r="AV917" s="470"/>
      <c r="AX917" s="478"/>
    </row>
    <row r="918" ht="15.75" customHeight="1">
      <c r="C918" s="470"/>
      <c r="E918" s="471"/>
      <c r="O918" s="472"/>
      <c r="Z918" s="473"/>
      <c r="AC918" s="474"/>
      <c r="AH918" s="475"/>
      <c r="AI918" s="476"/>
      <c r="AJ918" s="475"/>
      <c r="AP918" s="476"/>
      <c r="AT918" s="477"/>
      <c r="AU918" s="477"/>
      <c r="AV918" s="470"/>
      <c r="AX918" s="478"/>
    </row>
    <row r="919" ht="15.75" customHeight="1">
      <c r="C919" s="470"/>
      <c r="E919" s="471"/>
      <c r="O919" s="472"/>
      <c r="Z919" s="473"/>
      <c r="AC919" s="474"/>
      <c r="AH919" s="475"/>
      <c r="AI919" s="476"/>
      <c r="AJ919" s="475"/>
      <c r="AP919" s="476"/>
      <c r="AT919" s="477"/>
      <c r="AU919" s="477"/>
      <c r="AV919" s="470"/>
      <c r="AX919" s="478"/>
    </row>
    <row r="920" ht="15.75" customHeight="1">
      <c r="C920" s="470"/>
      <c r="E920" s="471"/>
      <c r="O920" s="472"/>
      <c r="Z920" s="473"/>
      <c r="AC920" s="474"/>
      <c r="AH920" s="475"/>
      <c r="AI920" s="476"/>
      <c r="AJ920" s="475"/>
      <c r="AP920" s="476"/>
      <c r="AT920" s="477"/>
      <c r="AU920" s="477"/>
      <c r="AV920" s="470"/>
      <c r="AX920" s="478"/>
    </row>
    <row r="921" ht="15.75" customHeight="1">
      <c r="C921" s="470"/>
      <c r="E921" s="471"/>
      <c r="O921" s="472"/>
      <c r="Z921" s="473"/>
      <c r="AC921" s="474"/>
      <c r="AH921" s="475"/>
      <c r="AI921" s="476"/>
      <c r="AJ921" s="475"/>
      <c r="AP921" s="476"/>
      <c r="AT921" s="477"/>
      <c r="AU921" s="477"/>
      <c r="AV921" s="470"/>
      <c r="AX921" s="478"/>
    </row>
    <row r="922" ht="15.75" customHeight="1">
      <c r="C922" s="470"/>
      <c r="E922" s="471"/>
      <c r="O922" s="472"/>
      <c r="Z922" s="473"/>
      <c r="AC922" s="474"/>
      <c r="AH922" s="475"/>
      <c r="AI922" s="476"/>
      <c r="AJ922" s="475"/>
      <c r="AP922" s="476"/>
      <c r="AT922" s="477"/>
      <c r="AU922" s="477"/>
      <c r="AV922" s="470"/>
      <c r="AX922" s="478"/>
    </row>
    <row r="923" ht="15.75" customHeight="1">
      <c r="C923" s="470"/>
      <c r="E923" s="471"/>
      <c r="O923" s="472"/>
      <c r="Z923" s="473"/>
      <c r="AC923" s="474"/>
      <c r="AH923" s="475"/>
      <c r="AI923" s="476"/>
      <c r="AJ923" s="475"/>
      <c r="AP923" s="476"/>
      <c r="AT923" s="477"/>
      <c r="AU923" s="477"/>
      <c r="AV923" s="470"/>
      <c r="AX923" s="478"/>
    </row>
    <row r="924" ht="15.75" customHeight="1">
      <c r="C924" s="470"/>
      <c r="E924" s="471"/>
      <c r="O924" s="472"/>
      <c r="Z924" s="473"/>
      <c r="AC924" s="474"/>
      <c r="AH924" s="475"/>
      <c r="AI924" s="476"/>
      <c r="AJ924" s="475"/>
      <c r="AP924" s="476"/>
      <c r="AT924" s="477"/>
      <c r="AU924" s="477"/>
      <c r="AV924" s="470"/>
      <c r="AX924" s="478"/>
    </row>
    <row r="925" ht="15.75" customHeight="1">
      <c r="C925" s="470"/>
      <c r="E925" s="471"/>
      <c r="O925" s="472"/>
      <c r="Z925" s="473"/>
      <c r="AC925" s="474"/>
      <c r="AH925" s="475"/>
      <c r="AI925" s="476"/>
      <c r="AJ925" s="475"/>
      <c r="AP925" s="476"/>
      <c r="AT925" s="477"/>
      <c r="AU925" s="477"/>
      <c r="AV925" s="470"/>
      <c r="AX925" s="478"/>
    </row>
    <row r="926" ht="15.75" customHeight="1">
      <c r="C926" s="470"/>
      <c r="E926" s="471"/>
      <c r="O926" s="472"/>
      <c r="Z926" s="473"/>
      <c r="AC926" s="474"/>
      <c r="AH926" s="475"/>
      <c r="AI926" s="476"/>
      <c r="AJ926" s="475"/>
      <c r="AP926" s="476"/>
      <c r="AT926" s="477"/>
      <c r="AU926" s="477"/>
      <c r="AV926" s="470"/>
      <c r="AX926" s="478"/>
    </row>
    <row r="927" ht="15.75" customHeight="1">
      <c r="C927" s="470"/>
      <c r="E927" s="471"/>
      <c r="O927" s="472"/>
      <c r="Z927" s="473"/>
      <c r="AC927" s="474"/>
      <c r="AH927" s="475"/>
      <c r="AI927" s="476"/>
      <c r="AJ927" s="475"/>
      <c r="AP927" s="476"/>
      <c r="AT927" s="477"/>
      <c r="AU927" s="477"/>
      <c r="AV927" s="470"/>
      <c r="AX927" s="478"/>
    </row>
    <row r="928" ht="15.75" customHeight="1">
      <c r="C928" s="470"/>
      <c r="E928" s="471"/>
      <c r="O928" s="472"/>
      <c r="Z928" s="473"/>
      <c r="AC928" s="474"/>
      <c r="AH928" s="475"/>
      <c r="AI928" s="476"/>
      <c r="AJ928" s="475"/>
      <c r="AP928" s="476"/>
      <c r="AT928" s="477"/>
      <c r="AU928" s="477"/>
      <c r="AV928" s="470"/>
      <c r="AX928" s="478"/>
    </row>
    <row r="929" ht="15.75" customHeight="1">
      <c r="C929" s="470"/>
      <c r="E929" s="471"/>
      <c r="O929" s="472"/>
      <c r="Z929" s="473"/>
      <c r="AC929" s="474"/>
      <c r="AH929" s="475"/>
      <c r="AI929" s="476"/>
      <c r="AJ929" s="475"/>
      <c r="AP929" s="476"/>
      <c r="AT929" s="477"/>
      <c r="AU929" s="477"/>
      <c r="AV929" s="470"/>
      <c r="AX929" s="478"/>
    </row>
    <row r="930" ht="15.75" customHeight="1">
      <c r="C930" s="470"/>
      <c r="E930" s="471"/>
      <c r="O930" s="472"/>
      <c r="Z930" s="473"/>
      <c r="AC930" s="474"/>
      <c r="AH930" s="475"/>
      <c r="AI930" s="476"/>
      <c r="AJ930" s="475"/>
      <c r="AP930" s="476"/>
      <c r="AT930" s="477"/>
      <c r="AU930" s="477"/>
      <c r="AV930" s="470"/>
      <c r="AX930" s="478"/>
    </row>
    <row r="931" ht="15.75" customHeight="1">
      <c r="C931" s="470"/>
      <c r="E931" s="471"/>
      <c r="O931" s="472"/>
      <c r="Z931" s="473"/>
      <c r="AC931" s="474"/>
      <c r="AH931" s="475"/>
      <c r="AI931" s="476"/>
      <c r="AJ931" s="475"/>
      <c r="AP931" s="476"/>
      <c r="AT931" s="477"/>
      <c r="AU931" s="477"/>
      <c r="AV931" s="470"/>
      <c r="AX931" s="478"/>
    </row>
    <row r="932" ht="15.75" customHeight="1">
      <c r="C932" s="470"/>
      <c r="E932" s="471"/>
      <c r="O932" s="472"/>
      <c r="Z932" s="473"/>
      <c r="AC932" s="474"/>
      <c r="AH932" s="475"/>
      <c r="AI932" s="476"/>
      <c r="AJ932" s="475"/>
      <c r="AP932" s="476"/>
      <c r="AT932" s="477"/>
      <c r="AU932" s="477"/>
      <c r="AV932" s="470"/>
      <c r="AX932" s="478"/>
    </row>
    <row r="933" ht="15.75" customHeight="1">
      <c r="C933" s="470"/>
      <c r="E933" s="471"/>
      <c r="O933" s="472"/>
      <c r="Z933" s="473"/>
      <c r="AC933" s="474"/>
      <c r="AH933" s="475"/>
      <c r="AI933" s="476"/>
      <c r="AJ933" s="475"/>
      <c r="AP933" s="476"/>
      <c r="AT933" s="477"/>
      <c r="AU933" s="477"/>
      <c r="AV933" s="470"/>
      <c r="AX933" s="478"/>
    </row>
    <row r="934" ht="15.75" customHeight="1">
      <c r="C934" s="470"/>
      <c r="E934" s="471"/>
      <c r="O934" s="472"/>
      <c r="Z934" s="473"/>
      <c r="AC934" s="474"/>
      <c r="AH934" s="475"/>
      <c r="AI934" s="476"/>
      <c r="AJ934" s="475"/>
      <c r="AP934" s="476"/>
      <c r="AT934" s="477"/>
      <c r="AU934" s="477"/>
      <c r="AV934" s="470"/>
      <c r="AX934" s="478"/>
    </row>
    <row r="935" ht="15.75" customHeight="1">
      <c r="C935" s="470"/>
      <c r="E935" s="471"/>
      <c r="O935" s="472"/>
      <c r="Z935" s="473"/>
      <c r="AC935" s="474"/>
      <c r="AH935" s="475"/>
      <c r="AI935" s="476"/>
      <c r="AJ935" s="475"/>
      <c r="AP935" s="476"/>
      <c r="AT935" s="477"/>
      <c r="AU935" s="477"/>
      <c r="AV935" s="470"/>
      <c r="AX935" s="478"/>
    </row>
    <row r="936" ht="15.75" customHeight="1">
      <c r="C936" s="470"/>
      <c r="E936" s="471"/>
      <c r="O936" s="472"/>
      <c r="Z936" s="473"/>
      <c r="AC936" s="474"/>
      <c r="AH936" s="475"/>
      <c r="AI936" s="476"/>
      <c r="AJ936" s="475"/>
      <c r="AP936" s="476"/>
      <c r="AT936" s="477"/>
      <c r="AU936" s="477"/>
      <c r="AV936" s="470"/>
      <c r="AX936" s="478"/>
    </row>
    <row r="937" ht="15.75" customHeight="1">
      <c r="C937" s="470"/>
      <c r="E937" s="471"/>
      <c r="O937" s="472"/>
      <c r="Z937" s="473"/>
      <c r="AC937" s="474"/>
      <c r="AH937" s="475"/>
      <c r="AI937" s="476"/>
      <c r="AJ937" s="475"/>
      <c r="AP937" s="476"/>
      <c r="AT937" s="477"/>
      <c r="AU937" s="477"/>
      <c r="AV937" s="470"/>
      <c r="AX937" s="478"/>
    </row>
    <row r="938" ht="15.75" customHeight="1">
      <c r="C938" s="470"/>
      <c r="E938" s="471"/>
      <c r="O938" s="472"/>
      <c r="Z938" s="473"/>
      <c r="AC938" s="474"/>
      <c r="AH938" s="475"/>
      <c r="AI938" s="476"/>
      <c r="AJ938" s="475"/>
      <c r="AP938" s="476"/>
      <c r="AT938" s="477"/>
      <c r="AU938" s="477"/>
      <c r="AV938" s="470"/>
      <c r="AX938" s="478"/>
    </row>
    <row r="939" ht="15.75" customHeight="1">
      <c r="C939" s="470"/>
      <c r="E939" s="471"/>
      <c r="O939" s="472"/>
      <c r="Z939" s="473"/>
      <c r="AC939" s="474"/>
      <c r="AH939" s="475"/>
      <c r="AI939" s="476"/>
      <c r="AJ939" s="475"/>
      <c r="AP939" s="476"/>
      <c r="AT939" s="477"/>
      <c r="AU939" s="477"/>
      <c r="AV939" s="470"/>
      <c r="AX939" s="478"/>
    </row>
    <row r="940" ht="15.75" customHeight="1">
      <c r="C940" s="470"/>
      <c r="E940" s="471"/>
      <c r="O940" s="472"/>
      <c r="Z940" s="473"/>
      <c r="AC940" s="474"/>
      <c r="AH940" s="475"/>
      <c r="AI940" s="476"/>
      <c r="AJ940" s="475"/>
      <c r="AP940" s="476"/>
      <c r="AT940" s="477"/>
      <c r="AU940" s="477"/>
      <c r="AV940" s="470"/>
      <c r="AX940" s="478"/>
    </row>
    <row r="941" ht="15.75" customHeight="1">
      <c r="C941" s="470"/>
      <c r="E941" s="471"/>
      <c r="O941" s="472"/>
      <c r="Z941" s="473"/>
      <c r="AC941" s="474"/>
      <c r="AH941" s="475"/>
      <c r="AI941" s="476"/>
      <c r="AJ941" s="475"/>
      <c r="AP941" s="476"/>
      <c r="AT941" s="477"/>
      <c r="AU941" s="477"/>
      <c r="AV941" s="470"/>
      <c r="AX941" s="478"/>
    </row>
    <row r="942" ht="15.75" customHeight="1">
      <c r="C942" s="470"/>
      <c r="E942" s="471"/>
      <c r="O942" s="472"/>
      <c r="Z942" s="473"/>
      <c r="AC942" s="474"/>
      <c r="AH942" s="475"/>
      <c r="AI942" s="476"/>
      <c r="AJ942" s="475"/>
      <c r="AP942" s="476"/>
      <c r="AT942" s="477"/>
      <c r="AU942" s="477"/>
      <c r="AV942" s="470"/>
      <c r="AX942" s="478"/>
    </row>
    <row r="943" ht="15.75" customHeight="1">
      <c r="C943" s="470"/>
      <c r="E943" s="471"/>
      <c r="O943" s="472"/>
      <c r="Z943" s="473"/>
      <c r="AC943" s="474"/>
      <c r="AH943" s="475"/>
      <c r="AI943" s="476"/>
      <c r="AJ943" s="475"/>
      <c r="AP943" s="476"/>
      <c r="AT943" s="477"/>
      <c r="AU943" s="477"/>
      <c r="AV943" s="470"/>
      <c r="AX943" s="478"/>
    </row>
    <row r="944" ht="15.75" customHeight="1">
      <c r="C944" s="470"/>
      <c r="E944" s="471"/>
      <c r="O944" s="472"/>
      <c r="Z944" s="473"/>
      <c r="AC944" s="474"/>
      <c r="AH944" s="475"/>
      <c r="AI944" s="476"/>
      <c r="AJ944" s="475"/>
      <c r="AP944" s="476"/>
      <c r="AT944" s="477"/>
      <c r="AU944" s="477"/>
      <c r="AV944" s="470"/>
      <c r="AX944" s="478"/>
    </row>
    <row r="945" ht="15.75" customHeight="1">
      <c r="C945" s="470"/>
      <c r="E945" s="471"/>
      <c r="O945" s="472"/>
      <c r="Z945" s="473"/>
      <c r="AC945" s="474"/>
      <c r="AH945" s="475"/>
      <c r="AI945" s="476"/>
      <c r="AJ945" s="475"/>
      <c r="AP945" s="476"/>
      <c r="AT945" s="477"/>
      <c r="AU945" s="477"/>
      <c r="AV945" s="470"/>
      <c r="AX945" s="478"/>
    </row>
    <row r="946" ht="15.75" customHeight="1">
      <c r="C946" s="470"/>
      <c r="E946" s="471"/>
      <c r="O946" s="472"/>
      <c r="Z946" s="473"/>
      <c r="AC946" s="474"/>
      <c r="AH946" s="475"/>
      <c r="AI946" s="476"/>
      <c r="AJ946" s="475"/>
      <c r="AP946" s="476"/>
      <c r="AT946" s="477"/>
      <c r="AU946" s="477"/>
      <c r="AV946" s="470"/>
      <c r="AX946" s="478"/>
    </row>
    <row r="947" ht="15.75" customHeight="1">
      <c r="C947" s="470"/>
      <c r="E947" s="471"/>
      <c r="O947" s="472"/>
      <c r="Z947" s="473"/>
      <c r="AC947" s="474"/>
      <c r="AH947" s="475"/>
      <c r="AI947" s="476"/>
      <c r="AJ947" s="475"/>
      <c r="AP947" s="476"/>
      <c r="AT947" s="477"/>
      <c r="AU947" s="477"/>
      <c r="AV947" s="470"/>
      <c r="AX947" s="478"/>
    </row>
    <row r="948" ht="15.75" customHeight="1">
      <c r="C948" s="470"/>
      <c r="E948" s="471"/>
      <c r="O948" s="472"/>
      <c r="Z948" s="473"/>
      <c r="AC948" s="474"/>
      <c r="AH948" s="475"/>
      <c r="AI948" s="476"/>
      <c r="AJ948" s="475"/>
      <c r="AP948" s="476"/>
      <c r="AT948" s="477"/>
      <c r="AU948" s="477"/>
      <c r="AV948" s="470"/>
      <c r="AX948" s="478"/>
    </row>
    <row r="949" ht="15.75" customHeight="1">
      <c r="C949" s="470"/>
      <c r="E949" s="471"/>
      <c r="O949" s="472"/>
      <c r="Z949" s="473"/>
      <c r="AC949" s="474"/>
      <c r="AH949" s="475"/>
      <c r="AI949" s="476"/>
      <c r="AJ949" s="475"/>
      <c r="AP949" s="476"/>
      <c r="AT949" s="477"/>
      <c r="AU949" s="477"/>
      <c r="AV949" s="470"/>
      <c r="AX949" s="478"/>
    </row>
    <row r="950" ht="15.75" customHeight="1">
      <c r="C950" s="470"/>
      <c r="E950" s="471"/>
      <c r="O950" s="472"/>
      <c r="Z950" s="473"/>
      <c r="AC950" s="474"/>
      <c r="AH950" s="475"/>
      <c r="AI950" s="476"/>
      <c r="AJ950" s="475"/>
      <c r="AP950" s="476"/>
      <c r="AT950" s="477"/>
      <c r="AU950" s="477"/>
      <c r="AV950" s="470"/>
      <c r="AX950" s="478"/>
    </row>
    <row r="951" ht="15.75" customHeight="1">
      <c r="C951" s="470"/>
      <c r="E951" s="471"/>
      <c r="O951" s="472"/>
      <c r="Z951" s="473"/>
      <c r="AC951" s="474"/>
      <c r="AH951" s="475"/>
      <c r="AI951" s="476"/>
      <c r="AJ951" s="475"/>
      <c r="AP951" s="476"/>
      <c r="AT951" s="477"/>
      <c r="AU951" s="477"/>
      <c r="AV951" s="470"/>
      <c r="AX951" s="478"/>
    </row>
    <row r="952" ht="15.75" customHeight="1">
      <c r="C952" s="470"/>
      <c r="E952" s="471"/>
      <c r="O952" s="472"/>
      <c r="Z952" s="473"/>
      <c r="AC952" s="474"/>
      <c r="AH952" s="475"/>
      <c r="AI952" s="476"/>
      <c r="AJ952" s="475"/>
      <c r="AP952" s="476"/>
      <c r="AT952" s="477"/>
      <c r="AU952" s="477"/>
      <c r="AV952" s="470"/>
      <c r="AX952" s="478"/>
    </row>
    <row r="953" ht="15.75" customHeight="1">
      <c r="C953" s="470"/>
      <c r="E953" s="471"/>
      <c r="O953" s="472"/>
      <c r="Z953" s="473"/>
      <c r="AC953" s="474"/>
      <c r="AH953" s="475"/>
      <c r="AI953" s="476"/>
      <c r="AJ953" s="475"/>
      <c r="AP953" s="476"/>
      <c r="AT953" s="477"/>
      <c r="AU953" s="477"/>
      <c r="AV953" s="470"/>
      <c r="AX953" s="478"/>
    </row>
    <row r="954" ht="15.75" customHeight="1">
      <c r="C954" s="470"/>
      <c r="E954" s="471"/>
      <c r="O954" s="472"/>
      <c r="Z954" s="473"/>
      <c r="AC954" s="474"/>
      <c r="AH954" s="475"/>
      <c r="AI954" s="476"/>
      <c r="AJ954" s="475"/>
      <c r="AP954" s="476"/>
      <c r="AT954" s="477"/>
      <c r="AU954" s="477"/>
      <c r="AV954" s="470"/>
      <c r="AX954" s="478"/>
    </row>
    <row r="955" ht="15.75" customHeight="1">
      <c r="C955" s="470"/>
      <c r="E955" s="471"/>
      <c r="O955" s="472"/>
      <c r="Z955" s="473"/>
      <c r="AC955" s="474"/>
      <c r="AH955" s="475"/>
      <c r="AI955" s="476"/>
      <c r="AJ955" s="475"/>
      <c r="AP955" s="476"/>
      <c r="AT955" s="477"/>
      <c r="AU955" s="477"/>
      <c r="AV955" s="470"/>
      <c r="AX955" s="478"/>
    </row>
    <row r="956" ht="15.75" customHeight="1">
      <c r="C956" s="470"/>
      <c r="E956" s="471"/>
      <c r="O956" s="472"/>
      <c r="Z956" s="473"/>
      <c r="AC956" s="474"/>
      <c r="AH956" s="475"/>
      <c r="AI956" s="476"/>
      <c r="AJ956" s="475"/>
      <c r="AP956" s="476"/>
      <c r="AT956" s="477"/>
      <c r="AU956" s="477"/>
      <c r="AV956" s="470"/>
      <c r="AX956" s="478"/>
    </row>
    <row r="957" ht="15.75" customHeight="1">
      <c r="C957" s="470"/>
      <c r="E957" s="471"/>
      <c r="O957" s="472"/>
      <c r="Z957" s="473"/>
      <c r="AC957" s="474"/>
      <c r="AH957" s="475"/>
      <c r="AI957" s="476"/>
      <c r="AJ957" s="475"/>
      <c r="AP957" s="476"/>
      <c r="AT957" s="477"/>
      <c r="AU957" s="477"/>
      <c r="AV957" s="470"/>
      <c r="AX957" s="478"/>
    </row>
    <row r="958" ht="15.75" customHeight="1">
      <c r="C958" s="470"/>
      <c r="E958" s="471"/>
      <c r="O958" s="472"/>
      <c r="Z958" s="473"/>
      <c r="AC958" s="474"/>
      <c r="AH958" s="475"/>
      <c r="AI958" s="476"/>
      <c r="AJ958" s="475"/>
      <c r="AP958" s="476"/>
      <c r="AT958" s="477"/>
      <c r="AU958" s="477"/>
      <c r="AV958" s="470"/>
      <c r="AX958" s="478"/>
    </row>
    <row r="959" ht="15.75" customHeight="1">
      <c r="C959" s="470"/>
      <c r="E959" s="471"/>
      <c r="O959" s="472"/>
      <c r="Z959" s="473"/>
      <c r="AC959" s="474"/>
      <c r="AH959" s="475"/>
      <c r="AI959" s="476"/>
      <c r="AJ959" s="475"/>
      <c r="AP959" s="476"/>
      <c r="AT959" s="477"/>
      <c r="AU959" s="477"/>
      <c r="AV959" s="470"/>
      <c r="AX959" s="478"/>
    </row>
    <row r="960" ht="15.75" customHeight="1">
      <c r="C960" s="470"/>
      <c r="E960" s="471"/>
      <c r="O960" s="472"/>
      <c r="Z960" s="473"/>
      <c r="AC960" s="474"/>
      <c r="AH960" s="475"/>
      <c r="AI960" s="476"/>
      <c r="AJ960" s="475"/>
      <c r="AP960" s="476"/>
      <c r="AT960" s="477"/>
      <c r="AU960" s="477"/>
      <c r="AV960" s="470"/>
      <c r="AX960" s="478"/>
    </row>
    <row r="961" ht="15.75" customHeight="1">
      <c r="C961" s="470"/>
      <c r="E961" s="471"/>
      <c r="O961" s="472"/>
      <c r="Z961" s="473"/>
      <c r="AC961" s="474"/>
      <c r="AH961" s="475"/>
      <c r="AI961" s="476"/>
      <c r="AJ961" s="475"/>
      <c r="AP961" s="476"/>
      <c r="AT961" s="477"/>
      <c r="AU961" s="477"/>
      <c r="AV961" s="470"/>
      <c r="AX961" s="478"/>
    </row>
    <row r="962" ht="15.75" customHeight="1">
      <c r="C962" s="470"/>
      <c r="E962" s="471"/>
      <c r="O962" s="472"/>
      <c r="Z962" s="473"/>
      <c r="AC962" s="474"/>
      <c r="AH962" s="475"/>
      <c r="AI962" s="476"/>
      <c r="AJ962" s="475"/>
      <c r="AP962" s="476"/>
      <c r="AT962" s="477"/>
      <c r="AU962" s="477"/>
      <c r="AV962" s="470"/>
      <c r="AX962" s="478"/>
    </row>
    <row r="963" ht="15.75" customHeight="1">
      <c r="C963" s="470"/>
      <c r="E963" s="471"/>
      <c r="O963" s="472"/>
      <c r="Z963" s="473"/>
      <c r="AC963" s="474"/>
      <c r="AH963" s="475"/>
      <c r="AI963" s="476"/>
      <c r="AJ963" s="475"/>
      <c r="AP963" s="476"/>
      <c r="AT963" s="477"/>
      <c r="AU963" s="477"/>
      <c r="AV963" s="470"/>
      <c r="AX963" s="478"/>
    </row>
    <row r="964" ht="15.75" customHeight="1">
      <c r="C964" s="470"/>
      <c r="E964" s="471"/>
      <c r="O964" s="472"/>
      <c r="Z964" s="473"/>
      <c r="AC964" s="474"/>
      <c r="AH964" s="475"/>
      <c r="AI964" s="476"/>
      <c r="AJ964" s="475"/>
      <c r="AP964" s="476"/>
      <c r="AT964" s="477"/>
      <c r="AU964" s="477"/>
      <c r="AV964" s="470"/>
      <c r="AX964" s="478"/>
    </row>
    <row r="965" ht="15.75" customHeight="1">
      <c r="C965" s="470"/>
      <c r="E965" s="471"/>
      <c r="O965" s="472"/>
      <c r="Z965" s="473"/>
      <c r="AC965" s="474"/>
      <c r="AH965" s="475"/>
      <c r="AI965" s="476"/>
      <c r="AJ965" s="475"/>
      <c r="AP965" s="476"/>
      <c r="AT965" s="477"/>
      <c r="AU965" s="477"/>
      <c r="AV965" s="470"/>
      <c r="AX965" s="478"/>
    </row>
    <row r="966" ht="15.75" customHeight="1">
      <c r="C966" s="470"/>
      <c r="E966" s="471"/>
      <c r="O966" s="472"/>
      <c r="Z966" s="473"/>
      <c r="AC966" s="474"/>
      <c r="AH966" s="475"/>
      <c r="AI966" s="476"/>
      <c r="AJ966" s="475"/>
      <c r="AP966" s="476"/>
      <c r="AT966" s="477"/>
      <c r="AU966" s="477"/>
      <c r="AV966" s="470"/>
      <c r="AX966" s="478"/>
    </row>
    <row r="967" ht="15.75" customHeight="1">
      <c r="C967" s="470"/>
      <c r="E967" s="471"/>
      <c r="O967" s="472"/>
      <c r="Z967" s="473"/>
      <c r="AC967" s="474"/>
      <c r="AH967" s="475"/>
      <c r="AI967" s="476"/>
      <c r="AJ967" s="475"/>
      <c r="AP967" s="476"/>
      <c r="AT967" s="477"/>
      <c r="AU967" s="477"/>
      <c r="AV967" s="470"/>
      <c r="AX967" s="478"/>
    </row>
    <row r="968" ht="15.75" customHeight="1">
      <c r="C968" s="470"/>
      <c r="E968" s="471"/>
      <c r="O968" s="472"/>
      <c r="Z968" s="473"/>
      <c r="AC968" s="474"/>
      <c r="AH968" s="475"/>
      <c r="AI968" s="476"/>
      <c r="AJ968" s="475"/>
      <c r="AP968" s="476"/>
      <c r="AT968" s="477"/>
      <c r="AU968" s="477"/>
      <c r="AV968" s="470"/>
      <c r="AX968" s="478"/>
    </row>
    <row r="969" ht="15.75" customHeight="1">
      <c r="C969" s="470"/>
      <c r="E969" s="471"/>
      <c r="O969" s="472"/>
      <c r="Z969" s="473"/>
      <c r="AC969" s="474"/>
      <c r="AH969" s="475"/>
      <c r="AI969" s="476"/>
      <c r="AJ969" s="475"/>
      <c r="AP969" s="476"/>
      <c r="AT969" s="477"/>
      <c r="AU969" s="477"/>
      <c r="AV969" s="470"/>
      <c r="AX969" s="478"/>
    </row>
    <row r="970" ht="15.75" customHeight="1">
      <c r="C970" s="470"/>
      <c r="E970" s="471"/>
      <c r="O970" s="472"/>
      <c r="Z970" s="473"/>
      <c r="AC970" s="474"/>
      <c r="AH970" s="475"/>
      <c r="AI970" s="476"/>
      <c r="AJ970" s="475"/>
      <c r="AP970" s="476"/>
      <c r="AT970" s="477"/>
      <c r="AU970" s="477"/>
      <c r="AV970" s="470"/>
      <c r="AX970" s="478"/>
    </row>
    <row r="971" ht="15.75" customHeight="1">
      <c r="C971" s="470"/>
      <c r="E971" s="471"/>
      <c r="O971" s="472"/>
      <c r="Z971" s="473"/>
      <c r="AC971" s="474"/>
      <c r="AH971" s="475"/>
      <c r="AI971" s="476"/>
      <c r="AJ971" s="475"/>
      <c r="AP971" s="476"/>
      <c r="AT971" s="477"/>
      <c r="AU971" s="477"/>
      <c r="AV971" s="470"/>
      <c r="AX971" s="478"/>
    </row>
    <row r="972" ht="15.75" customHeight="1">
      <c r="C972" s="470"/>
      <c r="E972" s="471"/>
      <c r="O972" s="472"/>
      <c r="Z972" s="473"/>
      <c r="AC972" s="474"/>
      <c r="AH972" s="475"/>
      <c r="AI972" s="476"/>
      <c r="AJ972" s="475"/>
      <c r="AP972" s="476"/>
      <c r="AT972" s="477"/>
      <c r="AU972" s="477"/>
      <c r="AV972" s="470"/>
      <c r="AX972" s="478"/>
    </row>
    <row r="973" ht="15.75" customHeight="1">
      <c r="C973" s="470"/>
      <c r="E973" s="471"/>
      <c r="O973" s="472"/>
      <c r="Z973" s="473"/>
      <c r="AC973" s="474"/>
      <c r="AH973" s="475"/>
      <c r="AI973" s="476"/>
      <c r="AJ973" s="475"/>
      <c r="AP973" s="476"/>
      <c r="AT973" s="477"/>
      <c r="AU973" s="477"/>
      <c r="AV973" s="470"/>
      <c r="AX973" s="478"/>
    </row>
    <row r="974" ht="15.75" customHeight="1">
      <c r="C974" s="470"/>
      <c r="E974" s="471"/>
      <c r="O974" s="472"/>
      <c r="Z974" s="473"/>
      <c r="AC974" s="474"/>
      <c r="AH974" s="475"/>
      <c r="AI974" s="476"/>
      <c r="AJ974" s="475"/>
      <c r="AP974" s="476"/>
      <c r="AT974" s="477"/>
      <c r="AU974" s="477"/>
      <c r="AV974" s="470"/>
      <c r="AX974" s="478"/>
    </row>
    <row r="975" ht="15.75" customHeight="1">
      <c r="C975" s="470"/>
      <c r="E975" s="471"/>
      <c r="O975" s="472"/>
      <c r="Z975" s="473"/>
      <c r="AC975" s="474"/>
      <c r="AH975" s="475"/>
      <c r="AI975" s="476"/>
      <c r="AJ975" s="475"/>
      <c r="AP975" s="476"/>
      <c r="AT975" s="477"/>
      <c r="AU975" s="477"/>
      <c r="AV975" s="470"/>
      <c r="AX975" s="478"/>
    </row>
    <row r="976" ht="15.75" customHeight="1">
      <c r="C976" s="470"/>
      <c r="E976" s="471"/>
      <c r="O976" s="472"/>
      <c r="Z976" s="473"/>
      <c r="AC976" s="474"/>
      <c r="AH976" s="475"/>
      <c r="AI976" s="476"/>
      <c r="AJ976" s="475"/>
      <c r="AP976" s="476"/>
      <c r="AT976" s="477"/>
      <c r="AU976" s="477"/>
      <c r="AV976" s="470"/>
      <c r="AX976" s="478"/>
    </row>
    <row r="977" ht="15.75" customHeight="1">
      <c r="C977" s="470"/>
      <c r="E977" s="471"/>
      <c r="O977" s="472"/>
      <c r="Z977" s="473"/>
      <c r="AC977" s="474"/>
      <c r="AH977" s="475"/>
      <c r="AI977" s="476"/>
      <c r="AJ977" s="475"/>
      <c r="AP977" s="476"/>
      <c r="AT977" s="477"/>
      <c r="AU977" s="477"/>
      <c r="AV977" s="470"/>
      <c r="AX977" s="478"/>
    </row>
    <row r="978" ht="15.75" customHeight="1">
      <c r="C978" s="470"/>
      <c r="E978" s="471"/>
      <c r="O978" s="472"/>
      <c r="Z978" s="473"/>
      <c r="AC978" s="474"/>
      <c r="AH978" s="475"/>
      <c r="AI978" s="476"/>
      <c r="AJ978" s="475"/>
      <c r="AP978" s="476"/>
      <c r="AT978" s="477"/>
      <c r="AU978" s="477"/>
      <c r="AV978" s="470"/>
      <c r="AX978" s="478"/>
    </row>
    <row r="979" ht="15.75" customHeight="1">
      <c r="C979" s="470"/>
      <c r="E979" s="471"/>
      <c r="O979" s="472"/>
      <c r="Z979" s="473"/>
      <c r="AC979" s="474"/>
      <c r="AH979" s="475"/>
      <c r="AI979" s="476"/>
      <c r="AJ979" s="475"/>
      <c r="AP979" s="476"/>
      <c r="AT979" s="477"/>
      <c r="AU979" s="477"/>
      <c r="AV979" s="470"/>
      <c r="AX979" s="478"/>
    </row>
    <row r="980" ht="15.75" customHeight="1">
      <c r="C980" s="470"/>
      <c r="E980" s="471"/>
      <c r="O980" s="472"/>
      <c r="Z980" s="473"/>
      <c r="AC980" s="474"/>
      <c r="AH980" s="475"/>
      <c r="AI980" s="476"/>
      <c r="AJ980" s="475"/>
      <c r="AP980" s="476"/>
      <c r="AT980" s="477"/>
      <c r="AU980" s="477"/>
      <c r="AV980" s="470"/>
      <c r="AX980" s="478"/>
    </row>
    <row r="981" ht="15.75" customHeight="1">
      <c r="C981" s="470"/>
      <c r="E981" s="471"/>
      <c r="O981" s="472"/>
      <c r="Z981" s="473"/>
      <c r="AC981" s="474"/>
      <c r="AH981" s="475"/>
      <c r="AI981" s="476"/>
      <c r="AJ981" s="475"/>
      <c r="AP981" s="476"/>
      <c r="AT981" s="477"/>
      <c r="AU981" s="477"/>
      <c r="AV981" s="470"/>
      <c r="AX981" s="478"/>
    </row>
    <row r="982" ht="15.75" customHeight="1">
      <c r="C982" s="470"/>
      <c r="E982" s="471"/>
      <c r="O982" s="472"/>
      <c r="Z982" s="473"/>
      <c r="AC982" s="474"/>
      <c r="AH982" s="475"/>
      <c r="AI982" s="476"/>
      <c r="AJ982" s="475"/>
      <c r="AP982" s="476"/>
      <c r="AT982" s="477"/>
      <c r="AU982" s="477"/>
      <c r="AV982" s="470"/>
      <c r="AX982" s="478"/>
    </row>
    <row r="983" ht="15.75" customHeight="1">
      <c r="C983" s="470"/>
      <c r="E983" s="471"/>
      <c r="O983" s="472"/>
      <c r="Z983" s="473"/>
      <c r="AC983" s="474"/>
      <c r="AH983" s="475"/>
      <c r="AI983" s="476"/>
      <c r="AJ983" s="475"/>
      <c r="AP983" s="476"/>
      <c r="AT983" s="477"/>
      <c r="AU983" s="477"/>
      <c r="AV983" s="470"/>
      <c r="AX983" s="478"/>
    </row>
    <row r="984" ht="15.75" customHeight="1">
      <c r="C984" s="470"/>
      <c r="E984" s="471"/>
      <c r="O984" s="472"/>
      <c r="Z984" s="473"/>
      <c r="AC984" s="474"/>
      <c r="AH984" s="475"/>
      <c r="AI984" s="476"/>
      <c r="AJ984" s="475"/>
      <c r="AP984" s="476"/>
      <c r="AT984" s="477"/>
      <c r="AU984" s="477"/>
      <c r="AV984" s="470"/>
      <c r="AX984" s="478"/>
    </row>
    <row r="985" ht="15.75" customHeight="1">
      <c r="C985" s="470"/>
      <c r="E985" s="471"/>
      <c r="O985" s="472"/>
      <c r="Z985" s="473"/>
      <c r="AC985" s="474"/>
      <c r="AH985" s="475"/>
      <c r="AI985" s="476"/>
      <c r="AJ985" s="475"/>
      <c r="AP985" s="476"/>
      <c r="AT985" s="477"/>
      <c r="AU985" s="477"/>
      <c r="AV985" s="470"/>
      <c r="AX985" s="478"/>
    </row>
    <row r="986" ht="15.75" customHeight="1">
      <c r="C986" s="470"/>
      <c r="E986" s="471"/>
      <c r="O986" s="472"/>
      <c r="Z986" s="473"/>
      <c r="AC986" s="474"/>
      <c r="AH986" s="475"/>
      <c r="AI986" s="476"/>
      <c r="AJ986" s="475"/>
      <c r="AP986" s="476"/>
      <c r="AT986" s="477"/>
      <c r="AU986" s="477"/>
      <c r="AV986" s="470"/>
      <c r="AX986" s="478"/>
    </row>
    <row r="987" ht="15.75" customHeight="1">
      <c r="C987" s="470"/>
      <c r="E987" s="471"/>
      <c r="O987" s="472"/>
      <c r="Z987" s="473"/>
      <c r="AC987" s="474"/>
      <c r="AH987" s="475"/>
      <c r="AI987" s="476"/>
      <c r="AJ987" s="475"/>
      <c r="AP987" s="476"/>
      <c r="AT987" s="477"/>
      <c r="AU987" s="477"/>
      <c r="AV987" s="470"/>
      <c r="AX987" s="478"/>
    </row>
    <row r="988" ht="15.75" customHeight="1">
      <c r="C988" s="470"/>
      <c r="E988" s="471"/>
      <c r="O988" s="472"/>
      <c r="Z988" s="473"/>
      <c r="AC988" s="474"/>
      <c r="AH988" s="475"/>
      <c r="AI988" s="476"/>
      <c r="AJ988" s="475"/>
      <c r="AP988" s="476"/>
      <c r="AT988" s="477"/>
      <c r="AU988" s="477"/>
      <c r="AV988" s="470"/>
      <c r="AX988" s="478"/>
    </row>
    <row r="989" ht="15.75" customHeight="1">
      <c r="C989" s="470"/>
      <c r="E989" s="471"/>
      <c r="O989" s="472"/>
      <c r="Z989" s="473"/>
      <c r="AC989" s="474"/>
      <c r="AH989" s="475"/>
      <c r="AI989" s="476"/>
      <c r="AJ989" s="475"/>
      <c r="AP989" s="476"/>
      <c r="AT989" s="477"/>
      <c r="AU989" s="477"/>
      <c r="AV989" s="470"/>
      <c r="AX989" s="478"/>
    </row>
    <row r="990" ht="15.75" customHeight="1">
      <c r="C990" s="470"/>
      <c r="E990" s="471"/>
      <c r="O990" s="472"/>
      <c r="Z990" s="473"/>
      <c r="AC990" s="474"/>
      <c r="AH990" s="475"/>
      <c r="AI990" s="476"/>
      <c r="AJ990" s="475"/>
      <c r="AP990" s="476"/>
      <c r="AT990" s="477"/>
      <c r="AU990" s="477"/>
      <c r="AV990" s="470"/>
      <c r="AX990" s="478"/>
    </row>
    <row r="991" ht="15.75" customHeight="1">
      <c r="C991" s="470"/>
      <c r="E991" s="471"/>
      <c r="O991" s="472"/>
      <c r="Z991" s="473"/>
      <c r="AC991" s="474"/>
      <c r="AH991" s="475"/>
      <c r="AI991" s="476"/>
      <c r="AJ991" s="475"/>
      <c r="AP991" s="476"/>
      <c r="AT991" s="477"/>
      <c r="AU991" s="477"/>
      <c r="AV991" s="470"/>
      <c r="AX991" s="478"/>
    </row>
    <row r="992" ht="15.75" customHeight="1">
      <c r="C992" s="470"/>
      <c r="E992" s="471"/>
      <c r="O992" s="472"/>
      <c r="Z992" s="473"/>
      <c r="AC992" s="474"/>
      <c r="AH992" s="475"/>
      <c r="AI992" s="476"/>
      <c r="AJ992" s="475"/>
      <c r="AP992" s="476"/>
      <c r="AT992" s="477"/>
      <c r="AU992" s="477"/>
      <c r="AV992" s="470"/>
      <c r="AX992" s="478"/>
    </row>
    <row r="993" ht="15.75" customHeight="1">
      <c r="C993" s="470"/>
      <c r="E993" s="471"/>
      <c r="O993" s="472"/>
      <c r="Z993" s="473"/>
      <c r="AC993" s="474"/>
      <c r="AH993" s="475"/>
      <c r="AI993" s="476"/>
      <c r="AJ993" s="475"/>
      <c r="AP993" s="476"/>
      <c r="AT993" s="477"/>
      <c r="AU993" s="477"/>
      <c r="AV993" s="470"/>
      <c r="AX993" s="478"/>
    </row>
    <row r="994" ht="15.75" customHeight="1">
      <c r="C994" s="470"/>
      <c r="E994" s="471"/>
      <c r="O994" s="472"/>
      <c r="Z994" s="473"/>
      <c r="AC994" s="474"/>
      <c r="AH994" s="475"/>
      <c r="AI994" s="476"/>
      <c r="AJ994" s="475"/>
      <c r="AP994" s="476"/>
      <c r="AT994" s="477"/>
      <c r="AU994" s="477"/>
      <c r="AV994" s="470"/>
      <c r="AX994" s="478"/>
    </row>
    <row r="995" ht="15.75" customHeight="1">
      <c r="C995" s="470"/>
      <c r="E995" s="471"/>
      <c r="O995" s="472"/>
      <c r="Z995" s="473"/>
      <c r="AC995" s="474"/>
      <c r="AH995" s="475"/>
      <c r="AI995" s="476"/>
      <c r="AJ995" s="475"/>
      <c r="AP995" s="476"/>
      <c r="AT995" s="477"/>
      <c r="AU995" s="477"/>
      <c r="AV995" s="470"/>
      <c r="AX995" s="478"/>
    </row>
    <row r="996" ht="15.75" customHeight="1">
      <c r="C996" s="470"/>
      <c r="E996" s="471"/>
      <c r="O996" s="472"/>
      <c r="Z996" s="473"/>
      <c r="AC996" s="474"/>
      <c r="AH996" s="475"/>
      <c r="AI996" s="476"/>
      <c r="AJ996" s="475"/>
      <c r="AP996" s="476"/>
      <c r="AT996" s="477"/>
      <c r="AU996" s="477"/>
      <c r="AV996" s="470"/>
      <c r="AX996" s="478"/>
    </row>
    <row r="997" ht="15.75" customHeight="1">
      <c r="C997" s="470"/>
      <c r="E997" s="471"/>
      <c r="O997" s="472"/>
      <c r="Z997" s="473"/>
      <c r="AC997" s="474"/>
      <c r="AH997" s="475"/>
      <c r="AI997" s="476"/>
      <c r="AJ997" s="475"/>
      <c r="AP997" s="476"/>
      <c r="AT997" s="477"/>
      <c r="AU997" s="477"/>
      <c r="AV997" s="470"/>
      <c r="AX997" s="478"/>
    </row>
    <row r="998" ht="15.75" customHeight="1">
      <c r="C998" s="470"/>
      <c r="E998" s="471"/>
      <c r="O998" s="472"/>
      <c r="Z998" s="473"/>
      <c r="AC998" s="474"/>
      <c r="AH998" s="475"/>
      <c r="AI998" s="476"/>
      <c r="AJ998" s="475"/>
      <c r="AP998" s="476"/>
      <c r="AT998" s="477"/>
      <c r="AU998" s="477"/>
      <c r="AV998" s="470"/>
      <c r="AX998" s="478"/>
    </row>
    <row r="999" ht="15.75" customHeight="1">
      <c r="C999" s="470"/>
      <c r="E999" s="471"/>
      <c r="O999" s="472"/>
      <c r="Z999" s="473"/>
      <c r="AC999" s="474"/>
      <c r="AH999" s="475"/>
      <c r="AI999" s="476"/>
      <c r="AJ999" s="475"/>
      <c r="AP999" s="476"/>
      <c r="AT999" s="477"/>
      <c r="AU999" s="477"/>
      <c r="AV999" s="470"/>
      <c r="AX999" s="478"/>
    </row>
    <row r="1000" ht="15.75" customHeight="1">
      <c r="C1000" s="470"/>
      <c r="E1000" s="471"/>
      <c r="O1000" s="472"/>
      <c r="Z1000" s="473"/>
      <c r="AC1000" s="474"/>
      <c r="AH1000" s="475"/>
      <c r="AI1000" s="476"/>
      <c r="AJ1000" s="475"/>
      <c r="AP1000" s="476"/>
      <c r="AT1000" s="477"/>
      <c r="AU1000" s="477"/>
      <c r="AV1000" s="470"/>
      <c r="AX1000" s="478"/>
    </row>
    <row r="1001" ht="15.75" customHeight="1">
      <c r="C1001" s="470"/>
      <c r="E1001" s="471"/>
      <c r="O1001" s="472"/>
      <c r="Z1001" s="473"/>
      <c r="AC1001" s="474"/>
      <c r="AH1001" s="475"/>
      <c r="AI1001" s="476"/>
      <c r="AJ1001" s="475"/>
      <c r="AP1001" s="476"/>
      <c r="AT1001" s="477"/>
      <c r="AU1001" s="477"/>
      <c r="AV1001" s="470"/>
      <c r="AX1001" s="478"/>
    </row>
    <row r="1002" ht="15.75" customHeight="1">
      <c r="C1002" s="470"/>
      <c r="E1002" s="471"/>
      <c r="O1002" s="472"/>
      <c r="Z1002" s="473"/>
      <c r="AC1002" s="474"/>
      <c r="AH1002" s="475"/>
      <c r="AI1002" s="476"/>
      <c r="AJ1002" s="475"/>
      <c r="AP1002" s="476"/>
      <c r="AT1002" s="477"/>
      <c r="AU1002" s="477"/>
      <c r="AV1002" s="470"/>
      <c r="AX1002" s="478"/>
    </row>
    <row r="1003" ht="15.75" customHeight="1">
      <c r="C1003" s="470"/>
      <c r="E1003" s="471"/>
      <c r="O1003" s="472"/>
      <c r="Z1003" s="473"/>
      <c r="AC1003" s="474"/>
      <c r="AH1003" s="475"/>
      <c r="AI1003" s="476"/>
      <c r="AJ1003" s="475"/>
      <c r="AP1003" s="476"/>
      <c r="AT1003" s="477"/>
      <c r="AU1003" s="477"/>
      <c r="AV1003" s="470"/>
      <c r="AX1003" s="478"/>
    </row>
    <row r="1004" ht="15.75" customHeight="1">
      <c r="C1004" s="470"/>
      <c r="E1004" s="471"/>
      <c r="O1004" s="472"/>
      <c r="Z1004" s="473"/>
      <c r="AC1004" s="474"/>
      <c r="AH1004" s="475"/>
      <c r="AI1004" s="476"/>
      <c r="AJ1004" s="475"/>
      <c r="AP1004" s="476"/>
      <c r="AT1004" s="477"/>
      <c r="AU1004" s="477"/>
      <c r="AV1004" s="470"/>
      <c r="AX1004" s="478"/>
    </row>
    <row r="1005" ht="15.75" customHeight="1">
      <c r="C1005" s="470"/>
      <c r="E1005" s="471"/>
      <c r="O1005" s="472"/>
      <c r="Z1005" s="473"/>
      <c r="AC1005" s="474"/>
      <c r="AH1005" s="475"/>
      <c r="AI1005" s="476"/>
      <c r="AJ1005" s="475"/>
      <c r="AP1005" s="476"/>
      <c r="AT1005" s="477"/>
      <c r="AU1005" s="477"/>
      <c r="AV1005" s="470"/>
      <c r="AX1005" s="478"/>
    </row>
    <row r="1006" ht="15.75" customHeight="1">
      <c r="C1006" s="470"/>
      <c r="E1006" s="471"/>
      <c r="O1006" s="472"/>
      <c r="Z1006" s="473"/>
      <c r="AC1006" s="474"/>
      <c r="AH1006" s="475"/>
      <c r="AI1006" s="476"/>
      <c r="AJ1006" s="475"/>
      <c r="AP1006" s="476"/>
      <c r="AT1006" s="477"/>
      <c r="AU1006" s="477"/>
      <c r="AV1006" s="470"/>
      <c r="AX1006" s="478"/>
    </row>
    <row r="1007" ht="15.75" customHeight="1">
      <c r="C1007" s="470"/>
      <c r="E1007" s="471"/>
      <c r="O1007" s="472"/>
      <c r="Z1007" s="473"/>
      <c r="AC1007" s="474"/>
      <c r="AH1007" s="475"/>
      <c r="AI1007" s="476"/>
      <c r="AJ1007" s="475"/>
      <c r="AP1007" s="476"/>
      <c r="AT1007" s="477"/>
      <c r="AU1007" s="477"/>
      <c r="AV1007" s="470"/>
      <c r="AX1007" s="478"/>
    </row>
    <row r="1008" ht="15.75" customHeight="1">
      <c r="C1008" s="470"/>
      <c r="E1008" s="471"/>
      <c r="O1008" s="472"/>
      <c r="Z1008" s="473"/>
      <c r="AC1008" s="474"/>
      <c r="AH1008" s="475"/>
      <c r="AI1008" s="476"/>
      <c r="AJ1008" s="475"/>
      <c r="AP1008" s="476"/>
      <c r="AT1008" s="477"/>
      <c r="AU1008" s="477"/>
      <c r="AV1008" s="470"/>
      <c r="AX1008" s="478"/>
    </row>
    <row r="1009" ht="15.75" customHeight="1">
      <c r="C1009" s="470"/>
      <c r="E1009" s="471"/>
      <c r="O1009" s="472"/>
      <c r="Z1009" s="473"/>
      <c r="AC1009" s="474"/>
      <c r="AH1009" s="475"/>
      <c r="AI1009" s="476"/>
      <c r="AJ1009" s="475"/>
      <c r="AP1009" s="476"/>
      <c r="AT1009" s="477"/>
      <c r="AU1009" s="477"/>
      <c r="AV1009" s="470"/>
      <c r="AX1009" s="478"/>
    </row>
    <row r="1010" ht="15.75" customHeight="1">
      <c r="C1010" s="470"/>
      <c r="E1010" s="471"/>
      <c r="O1010" s="472"/>
      <c r="Z1010" s="473"/>
      <c r="AC1010" s="474"/>
      <c r="AH1010" s="475"/>
      <c r="AI1010" s="476"/>
      <c r="AJ1010" s="475"/>
      <c r="AP1010" s="476"/>
      <c r="AT1010" s="477"/>
      <c r="AU1010" s="477"/>
      <c r="AV1010" s="470"/>
      <c r="AX1010" s="478"/>
    </row>
    <row r="1011" ht="15.75" customHeight="1">
      <c r="C1011" s="470"/>
      <c r="E1011" s="471"/>
      <c r="O1011" s="472"/>
      <c r="Z1011" s="473"/>
      <c r="AC1011" s="474"/>
      <c r="AH1011" s="475"/>
      <c r="AI1011" s="476"/>
      <c r="AJ1011" s="475"/>
      <c r="AP1011" s="476"/>
      <c r="AT1011" s="477"/>
      <c r="AU1011" s="477"/>
      <c r="AV1011" s="470"/>
      <c r="AX1011" s="478"/>
    </row>
    <row r="1012" ht="15.75" customHeight="1">
      <c r="C1012" s="470"/>
      <c r="E1012" s="471"/>
      <c r="O1012" s="472"/>
      <c r="Z1012" s="473"/>
      <c r="AC1012" s="474"/>
      <c r="AH1012" s="475"/>
      <c r="AI1012" s="476"/>
      <c r="AJ1012" s="475"/>
      <c r="AP1012" s="476"/>
      <c r="AT1012" s="477"/>
      <c r="AU1012" s="477"/>
      <c r="AV1012" s="470"/>
      <c r="AX1012" s="478"/>
    </row>
    <row r="1013" ht="15.75" customHeight="1">
      <c r="C1013" s="470"/>
      <c r="E1013" s="471"/>
      <c r="O1013" s="472"/>
      <c r="Z1013" s="473"/>
      <c r="AC1013" s="474"/>
      <c r="AH1013" s="475"/>
      <c r="AI1013" s="476"/>
      <c r="AJ1013" s="475"/>
      <c r="AP1013" s="476"/>
      <c r="AT1013" s="477"/>
      <c r="AU1013" s="477"/>
      <c r="AV1013" s="470"/>
      <c r="AX1013" s="478"/>
    </row>
    <row r="1014" ht="15.75" customHeight="1">
      <c r="C1014" s="470"/>
      <c r="E1014" s="471"/>
      <c r="O1014" s="472"/>
      <c r="Z1014" s="473"/>
      <c r="AC1014" s="474"/>
      <c r="AH1014" s="475"/>
      <c r="AI1014" s="476"/>
      <c r="AJ1014" s="475"/>
      <c r="AP1014" s="476"/>
      <c r="AT1014" s="477"/>
      <c r="AU1014" s="477"/>
      <c r="AV1014" s="470"/>
      <c r="AX1014" s="478"/>
    </row>
    <row r="1015" ht="15.75" customHeight="1">
      <c r="C1015" s="470"/>
      <c r="E1015" s="471"/>
      <c r="O1015" s="472"/>
      <c r="Z1015" s="473"/>
      <c r="AC1015" s="474"/>
      <c r="AH1015" s="475"/>
      <c r="AI1015" s="476"/>
      <c r="AJ1015" s="475"/>
      <c r="AP1015" s="476"/>
      <c r="AT1015" s="477"/>
      <c r="AU1015" s="477"/>
      <c r="AV1015" s="470"/>
      <c r="AX1015" s="478"/>
    </row>
    <row r="1016" ht="15.75" customHeight="1">
      <c r="C1016" s="470"/>
      <c r="E1016" s="471"/>
      <c r="O1016" s="472"/>
      <c r="Z1016" s="473"/>
      <c r="AC1016" s="474"/>
      <c r="AH1016" s="475"/>
      <c r="AI1016" s="476"/>
      <c r="AJ1016" s="475"/>
      <c r="AP1016" s="476"/>
      <c r="AT1016" s="477"/>
      <c r="AU1016" s="477"/>
      <c r="AV1016" s="470"/>
      <c r="AX1016" s="478"/>
    </row>
    <row r="1017" ht="15.75" customHeight="1">
      <c r="C1017" s="470"/>
      <c r="E1017" s="471"/>
      <c r="O1017" s="472"/>
      <c r="Z1017" s="473"/>
      <c r="AC1017" s="474"/>
      <c r="AH1017" s="475"/>
      <c r="AI1017" s="476"/>
      <c r="AJ1017" s="475"/>
      <c r="AP1017" s="476"/>
      <c r="AT1017" s="477"/>
      <c r="AU1017" s="477"/>
      <c r="AV1017" s="470"/>
      <c r="AX1017" s="478"/>
    </row>
    <row r="1018" ht="15.75" customHeight="1">
      <c r="C1018" s="470"/>
      <c r="E1018" s="471"/>
      <c r="O1018" s="472"/>
      <c r="Z1018" s="473"/>
      <c r="AC1018" s="474"/>
      <c r="AH1018" s="475"/>
      <c r="AI1018" s="476"/>
      <c r="AJ1018" s="475"/>
      <c r="AP1018" s="476"/>
      <c r="AT1018" s="477"/>
      <c r="AU1018" s="477"/>
      <c r="AV1018" s="470"/>
      <c r="AX1018" s="478"/>
    </row>
    <row r="1019" ht="15.75" customHeight="1">
      <c r="C1019" s="470"/>
      <c r="E1019" s="471"/>
      <c r="O1019" s="472"/>
      <c r="Z1019" s="473"/>
      <c r="AC1019" s="474"/>
      <c r="AH1019" s="475"/>
      <c r="AI1019" s="476"/>
      <c r="AJ1019" s="475"/>
      <c r="AP1019" s="476"/>
      <c r="AT1019" s="477"/>
      <c r="AU1019" s="477"/>
      <c r="AV1019" s="470"/>
      <c r="AX1019" s="478"/>
    </row>
    <row r="1020" ht="15.75" customHeight="1">
      <c r="C1020" s="470"/>
      <c r="E1020" s="471"/>
      <c r="O1020" s="472"/>
      <c r="Z1020" s="473"/>
      <c r="AC1020" s="474"/>
      <c r="AH1020" s="475"/>
      <c r="AI1020" s="476"/>
      <c r="AJ1020" s="475"/>
      <c r="AP1020" s="476"/>
      <c r="AT1020" s="477"/>
      <c r="AU1020" s="477"/>
      <c r="AV1020" s="470"/>
      <c r="AX1020" s="478"/>
    </row>
    <row r="1021" ht="15.75" customHeight="1">
      <c r="C1021" s="470"/>
      <c r="E1021" s="471"/>
      <c r="O1021" s="472"/>
      <c r="Z1021" s="473"/>
      <c r="AC1021" s="474"/>
      <c r="AH1021" s="475"/>
      <c r="AI1021" s="476"/>
      <c r="AJ1021" s="475"/>
      <c r="AP1021" s="476"/>
      <c r="AT1021" s="477"/>
      <c r="AU1021" s="477"/>
      <c r="AV1021" s="470"/>
      <c r="AX1021" s="478"/>
    </row>
    <row r="1022" ht="15.75" customHeight="1">
      <c r="C1022" s="470"/>
      <c r="E1022" s="471"/>
      <c r="O1022" s="472"/>
      <c r="Z1022" s="473"/>
      <c r="AC1022" s="474"/>
      <c r="AH1022" s="475"/>
      <c r="AI1022" s="476"/>
      <c r="AJ1022" s="475"/>
      <c r="AP1022" s="476"/>
      <c r="AT1022" s="477"/>
      <c r="AU1022" s="477"/>
      <c r="AV1022" s="470"/>
      <c r="AX1022" s="478"/>
    </row>
    <row r="1023" ht="15.75" customHeight="1">
      <c r="C1023" s="470"/>
      <c r="E1023" s="471"/>
      <c r="O1023" s="472"/>
      <c r="Z1023" s="473"/>
      <c r="AC1023" s="474"/>
      <c r="AH1023" s="475"/>
      <c r="AI1023" s="476"/>
      <c r="AJ1023" s="475"/>
      <c r="AP1023" s="476"/>
      <c r="AT1023" s="477"/>
      <c r="AU1023" s="477"/>
      <c r="AV1023" s="470"/>
      <c r="AX1023" s="478"/>
    </row>
    <row r="1024" ht="15.75" customHeight="1">
      <c r="C1024" s="470"/>
      <c r="E1024" s="471"/>
      <c r="O1024" s="472"/>
      <c r="Z1024" s="473"/>
      <c r="AC1024" s="474"/>
      <c r="AH1024" s="475"/>
      <c r="AI1024" s="476"/>
      <c r="AJ1024" s="475"/>
      <c r="AP1024" s="476"/>
      <c r="AT1024" s="477"/>
      <c r="AU1024" s="477"/>
      <c r="AV1024" s="470"/>
      <c r="AX1024" s="478"/>
    </row>
    <row r="1025" ht="15.75" customHeight="1">
      <c r="C1025" s="470"/>
      <c r="E1025" s="471"/>
      <c r="O1025" s="472"/>
      <c r="Z1025" s="473"/>
      <c r="AC1025" s="474"/>
      <c r="AH1025" s="475"/>
      <c r="AI1025" s="476"/>
      <c r="AJ1025" s="475"/>
      <c r="AP1025" s="476"/>
      <c r="AT1025" s="477"/>
      <c r="AU1025" s="477"/>
      <c r="AV1025" s="470"/>
      <c r="AX1025" s="478"/>
    </row>
    <row r="1026" ht="15.75" customHeight="1">
      <c r="C1026" s="470"/>
      <c r="E1026" s="471"/>
      <c r="O1026" s="472"/>
      <c r="Z1026" s="473"/>
      <c r="AC1026" s="474"/>
      <c r="AH1026" s="475"/>
      <c r="AI1026" s="476"/>
      <c r="AJ1026" s="475"/>
      <c r="AP1026" s="476"/>
      <c r="AT1026" s="477"/>
      <c r="AU1026" s="477"/>
      <c r="AV1026" s="470"/>
      <c r="AX1026" s="478"/>
    </row>
    <row r="1027" ht="15.75" customHeight="1">
      <c r="C1027" s="470"/>
      <c r="E1027" s="471"/>
      <c r="O1027" s="472"/>
      <c r="Z1027" s="473"/>
      <c r="AC1027" s="474"/>
      <c r="AH1027" s="475"/>
      <c r="AI1027" s="476"/>
      <c r="AJ1027" s="475"/>
      <c r="AP1027" s="476"/>
      <c r="AT1027" s="477"/>
      <c r="AU1027" s="477"/>
      <c r="AV1027" s="470"/>
      <c r="AX1027" s="478"/>
    </row>
    <row r="1028" ht="15.75" customHeight="1">
      <c r="C1028" s="470"/>
      <c r="E1028" s="471"/>
      <c r="O1028" s="472"/>
      <c r="Z1028" s="473"/>
      <c r="AC1028" s="474"/>
      <c r="AH1028" s="475"/>
      <c r="AI1028" s="476"/>
      <c r="AJ1028" s="475"/>
      <c r="AP1028" s="476"/>
      <c r="AT1028" s="477"/>
      <c r="AU1028" s="477"/>
      <c r="AV1028" s="470"/>
      <c r="AX1028" s="478"/>
    </row>
    <row r="1029" ht="15.75" customHeight="1">
      <c r="C1029" s="470"/>
      <c r="E1029" s="471"/>
      <c r="O1029" s="472"/>
      <c r="Z1029" s="473"/>
      <c r="AC1029" s="474"/>
      <c r="AH1029" s="475"/>
      <c r="AI1029" s="476"/>
      <c r="AJ1029" s="475"/>
      <c r="AP1029" s="476"/>
      <c r="AT1029" s="477"/>
      <c r="AU1029" s="477"/>
      <c r="AV1029" s="470"/>
      <c r="AX1029" s="478"/>
    </row>
    <row r="1030" ht="15.75" customHeight="1">
      <c r="C1030" s="470"/>
      <c r="E1030" s="471"/>
      <c r="O1030" s="472"/>
      <c r="Z1030" s="473"/>
      <c r="AC1030" s="474"/>
      <c r="AH1030" s="475"/>
      <c r="AI1030" s="476"/>
      <c r="AJ1030" s="475"/>
      <c r="AP1030" s="476"/>
      <c r="AT1030" s="477"/>
      <c r="AU1030" s="477"/>
      <c r="AV1030" s="470"/>
      <c r="AX1030" s="478"/>
    </row>
    <row r="1031" ht="15.75" customHeight="1">
      <c r="C1031" s="470"/>
      <c r="E1031" s="471"/>
      <c r="O1031" s="472"/>
      <c r="Z1031" s="473"/>
      <c r="AC1031" s="474"/>
      <c r="AH1031" s="475"/>
      <c r="AI1031" s="476"/>
      <c r="AJ1031" s="475"/>
      <c r="AP1031" s="476"/>
      <c r="AT1031" s="477"/>
      <c r="AU1031" s="477"/>
      <c r="AV1031" s="470"/>
      <c r="AX1031" s="478"/>
    </row>
    <row r="1032" ht="15.75" customHeight="1">
      <c r="C1032" s="470"/>
      <c r="E1032" s="471"/>
      <c r="O1032" s="472"/>
      <c r="Z1032" s="473"/>
      <c r="AC1032" s="474"/>
      <c r="AH1032" s="475"/>
      <c r="AI1032" s="476"/>
      <c r="AJ1032" s="475"/>
      <c r="AP1032" s="476"/>
      <c r="AT1032" s="477"/>
      <c r="AU1032" s="477"/>
      <c r="AV1032" s="470"/>
      <c r="AX1032" s="478"/>
    </row>
    <row r="1033" ht="15.75" customHeight="1">
      <c r="C1033" s="470"/>
      <c r="E1033" s="471"/>
      <c r="O1033" s="472"/>
      <c r="Z1033" s="473"/>
      <c r="AC1033" s="474"/>
      <c r="AH1033" s="475"/>
      <c r="AI1033" s="476"/>
      <c r="AJ1033" s="475"/>
      <c r="AP1033" s="476"/>
      <c r="AT1033" s="477"/>
      <c r="AU1033" s="477"/>
      <c r="AV1033" s="470"/>
      <c r="AX1033" s="478"/>
    </row>
    <row r="1034" ht="15.75" customHeight="1">
      <c r="C1034" s="470"/>
      <c r="E1034" s="471"/>
      <c r="O1034" s="472"/>
      <c r="Z1034" s="473"/>
      <c r="AC1034" s="474"/>
      <c r="AH1034" s="475"/>
      <c r="AI1034" s="476"/>
      <c r="AJ1034" s="475"/>
      <c r="AP1034" s="476"/>
      <c r="AT1034" s="477"/>
      <c r="AU1034" s="477"/>
      <c r="AV1034" s="470"/>
      <c r="AX1034" s="478"/>
    </row>
    <row r="1035" ht="15.75" customHeight="1">
      <c r="C1035" s="470"/>
      <c r="E1035" s="471"/>
      <c r="O1035" s="472"/>
      <c r="Z1035" s="473"/>
      <c r="AC1035" s="474"/>
      <c r="AH1035" s="475"/>
      <c r="AI1035" s="476"/>
      <c r="AJ1035" s="475"/>
      <c r="AP1035" s="476"/>
      <c r="AT1035" s="477"/>
      <c r="AU1035" s="477"/>
      <c r="AV1035" s="470"/>
      <c r="AX1035" s="478"/>
    </row>
    <row r="1036" ht="15.75" customHeight="1">
      <c r="C1036" s="470"/>
      <c r="E1036" s="471"/>
      <c r="O1036" s="472"/>
      <c r="Z1036" s="473"/>
      <c r="AC1036" s="474"/>
      <c r="AH1036" s="475"/>
      <c r="AI1036" s="476"/>
      <c r="AJ1036" s="475"/>
      <c r="AP1036" s="476"/>
      <c r="AT1036" s="477"/>
      <c r="AU1036" s="477"/>
      <c r="AV1036" s="470"/>
      <c r="AX1036" s="478"/>
    </row>
    <row r="1037" ht="15.75" customHeight="1">
      <c r="C1037" s="470"/>
      <c r="E1037" s="471"/>
      <c r="O1037" s="472"/>
      <c r="Z1037" s="473"/>
      <c r="AC1037" s="474"/>
      <c r="AH1037" s="475"/>
      <c r="AI1037" s="476"/>
      <c r="AJ1037" s="475"/>
      <c r="AP1037" s="476"/>
      <c r="AT1037" s="477"/>
      <c r="AU1037" s="477"/>
      <c r="AV1037" s="470"/>
      <c r="AX1037" s="478"/>
    </row>
    <row r="1038" ht="15.75" customHeight="1">
      <c r="C1038" s="470"/>
      <c r="E1038" s="471"/>
      <c r="O1038" s="472"/>
      <c r="Z1038" s="473"/>
      <c r="AC1038" s="474"/>
      <c r="AH1038" s="475"/>
      <c r="AI1038" s="476"/>
      <c r="AJ1038" s="475"/>
      <c r="AP1038" s="476"/>
      <c r="AT1038" s="477"/>
      <c r="AU1038" s="477"/>
      <c r="AV1038" s="470"/>
      <c r="AX1038" s="478"/>
    </row>
    <row r="1039" ht="15.75" customHeight="1">
      <c r="C1039" s="470"/>
      <c r="E1039" s="471"/>
      <c r="O1039" s="472"/>
      <c r="Z1039" s="473"/>
      <c r="AC1039" s="474"/>
      <c r="AH1039" s="475"/>
      <c r="AI1039" s="476"/>
      <c r="AJ1039" s="475"/>
      <c r="AP1039" s="476"/>
      <c r="AT1039" s="477"/>
      <c r="AU1039" s="477"/>
      <c r="AV1039" s="470"/>
      <c r="AX1039" s="478"/>
    </row>
    <row r="1040" ht="15.75" customHeight="1">
      <c r="C1040" s="470"/>
      <c r="E1040" s="471"/>
      <c r="O1040" s="472"/>
      <c r="Z1040" s="473"/>
      <c r="AC1040" s="474"/>
      <c r="AH1040" s="475"/>
      <c r="AI1040" s="476"/>
      <c r="AJ1040" s="475"/>
      <c r="AP1040" s="476"/>
      <c r="AT1040" s="477"/>
      <c r="AU1040" s="477"/>
      <c r="AV1040" s="470"/>
      <c r="AX1040" s="478"/>
    </row>
  </sheetData>
  <customSheetViews>
    <customSheetView guid="{C0A4387F-A44E-4C11-B182-07380818D8CE}" filter="1" showAutoFilter="1">
      <autoFilter ref="$A$1:$BG$196"/>
    </customSheetView>
    <customSheetView guid="{4357504D-0832-43C3-8459-00721CA7ED7F}" filter="1" showAutoFilter="1">
      <autoFilter ref="$A$1:$BG$480">
        <filterColumn colId="3">
          <filters>
            <filter val="RVT"/>
          </filters>
        </filterColumn>
        <filterColumn colId="4">
          <filters blank="1">
            <filter val="CAFETEROS"/>
            <filter val="REPARCHEO"/>
            <filter val="BICIMOTORRUTAS"/>
            <filter val="FINDETER"/>
            <filter val="RECURSOS"/>
            <filter val="MATERIALES"/>
            <filter val="JAC"/>
            <filter val="CONVOCATORIA  3"/>
          </filters>
        </filterColumn>
        <sortState ref="A1:BG480">
          <sortCondition ref="A1:A480"/>
        </sortState>
      </autoFilter>
    </customSheetView>
  </customSheetViews>
  <conditionalFormatting sqref="C2:C3 A26:I360 AV240 AV269">
    <cfRule type="cellIs" dxfId="0" priority="1" operator="equal">
      <formula>"LIQUIDADO"</formula>
    </cfRule>
  </conditionalFormatting>
  <conditionalFormatting sqref="A5:A26 B5:K25 A30:A31 A35:A36 A40:A41 A45:A46 A50:A51 A55:A56 A60:A61 A65:A66 A70:A71 A75:A76 A80:A81 C83:C84 A85:A86 A90:A91 A95:A96 A100:A101 A105:A106 A110:A111 A115:A116 A120:A121 A125:A126 A130:A131 A135:A136 A140:A141 A145:A146 A150:A151 A155:A156 C159 A160:A161 A165:A166 A170:A171 A175:A176 A180:A181 A185:A186 A190:A191 A195:A196 A200:A201 C200:C205 A205:A206 A210:A211 A215:A216 A220:A221 A225:A226 A230:A231 A235:A236 A240:A241 A245:A246 A250:A251 A255:A256 A260:A261 C261 A265:A266 A270:A271 A275:A276 A280:A281 G314:H314 A351:A360">
    <cfRule type="cellIs" dxfId="0" priority="2" operator="equal">
      <formula>"LIQUIDADO"</formula>
    </cfRule>
  </conditionalFormatting>
  <conditionalFormatting sqref="A2:A360 B2:P4 Q2:U25 V2:V4 W2:AB25 AC2:AC360 AD2:AG4 AH2:AH360 AI2:AI4 AJ2:AJ367 AK2:AS4 BF2:BF25 BG2:BG49 BH2:BH25 V6:V25 U35 AI39 C58 BG60 C62 BG64:BG110 BG178:BG273 BG277 BG351:BG360">
    <cfRule type="cellIs" dxfId="0" priority="3" operator="equal">
      <formula>"LIQUIDADO"</formula>
    </cfRule>
  </conditionalFormatting>
  <conditionalFormatting sqref="L5:N360 AE41 AP67:AP83 AJ70:AO70 AQ70 AJ153:AO154 AQ153:AQ154 AJ156:AO157 AQ156:AQ157 AJ160:AO177 AQ160:AQ177 AJ324">
    <cfRule type="cellIs" dxfId="0" priority="4" operator="equal">
      <formula>"LIQUIDADO"</formula>
    </cfRule>
  </conditionalFormatting>
  <conditionalFormatting sqref="Q26:T360 AT26:AU360">
    <cfRule type="cellIs" dxfId="0" priority="5" operator="equal">
      <formula>"LIQUIDADO"</formula>
    </cfRule>
  </conditionalFormatting>
  <conditionalFormatting sqref="Z26:AA360">
    <cfRule type="cellIs" dxfId="0" priority="6" operator="equal">
      <formula>"LIQUIDADO"</formula>
    </cfRule>
  </conditionalFormatting>
  <conditionalFormatting sqref="AH6:AH360 H7 AD26:AG360 AI26:AI360 AJ26:AJ367 AK26:AQ360 N70 N154 N156:N157 N160:N177">
    <cfRule type="cellIs" dxfId="0" priority="7" operator="equal">
      <formula>"LIQUIDADO"</formula>
    </cfRule>
  </conditionalFormatting>
  <conditionalFormatting sqref="AD5:AG25 AH5:AH360 AI5:AQ25 AR5:AR20 AS9:AS20 AI39 AJ259:AJ279 AI349 AP360">
    <cfRule type="cellIs" dxfId="0" priority="8" operator="equal">
      <formula>"LIQUIDADO"</formula>
    </cfRule>
  </conditionalFormatting>
  <conditionalFormatting sqref="AS2:AS20 AT2:AU25 AV2:AV9 BF2:BF25 BG2:BG49 BH2:BH25 AR3 AV11:AV25 AR17 AV57:AV60 BG60 BG64:BG110 BG178:BG273 BG277 BG351:BG360">
    <cfRule type="cellIs" dxfId="0" priority="9" operator="equal">
      <formula>"LIQUIDADO"</formula>
    </cfRule>
  </conditionalFormatting>
  <conditionalFormatting sqref="BF26:BF66 BG26:BG354 BH26:BH66 BF74:BF177 BH74:BH177 BF274:BF276 BH274:BH276 BF278:BF354 BH278:BH360">
    <cfRule type="cellIs" dxfId="0" priority="10" operator="equal">
      <formula>"LIQUIDADO"</formula>
    </cfRule>
  </conditionalFormatting>
  <dataValidations>
    <dataValidation type="list" allowBlank="1" showErrorMessage="1" sqref="D153:D154 D156:D157 D160:D177">
      <formula1>"RVT,RVU,RVS,ESPACIO PÚBLICO,CABLES AÉREOS,MUELLES,AEROPUERTOS,EQUIPAMIENTOS,INTERVENTORIA"</formula1>
    </dataValidation>
    <dataValidation type="list" allowBlank="1" showErrorMessage="1" sqref="D2:D152 D155 D158:D159 D178:D360">
      <formula1>"RVT,RVU,RVS,ESPACIO PÚBLICO,CABLES AÉREOS,MUELLES,AEROPUERTOS,VIAS TERCIARIAS MANTENIDAS"</formula1>
    </dataValidation>
    <dataValidation type="list" allowBlank="1" showErrorMessage="1" sqref="E155 E158:E159">
      <formula1>"FINDETER,CONVOCATORIA  3,MATERIALES,RECURSOS,JAC,INTERVENTORÍA"</formula1>
    </dataValidation>
    <dataValidation type="list" allowBlank="1" showErrorMessage="1" sqref="I2:I360">
      <formula1>"URABÁ,SUROESTE,BAJO CAUCA,MAGDALENA MEDIO,NORDESTE,ORIENTE,OCCIDENTE,NORTE,VALLE DE ABURRÁ, OCCIDENTE"</formula1>
    </dataValidation>
    <dataValidation type="list" allowBlank="1" showErrorMessage="1" sqref="AZ2:AZ3 AZ25">
      <formula1>"RECURSO DE REPOSICIÓN,ACTO EN FIRME,RESOLUCIÓN EXPEDIDA,RESOLUCIÓN MODIFICATORIA,NO APLICA"</formula1>
    </dataValidation>
    <dataValidation type="list" allowBlank="1" showErrorMessage="1" sqref="U2:U45 U46:V46 U47:U91 U92:V92 U93:U162 U163:V163 U164:U225 U226:V226 U227:U242 U243:V243 U244:U246 U247:V247 U248:U261 U262:V262 U263:U360">
      <formula1>"LIQUIDADO,SUSPENDIDO,RESCILIADO,POR LIQUIDAR,EN EJECUCIÓN,DESISITIO"</formula1>
    </dataValidation>
    <dataValidation type="list" allowBlank="1" showErrorMessage="1" sqref="AZ4:AZ24 AZ26:AZ360">
      <formula1>"RECURSO DE REPOSICIÓN,ACTO EN FIRME,NO APLICA"</formula1>
    </dataValidation>
    <dataValidation type="list" allowBlank="1" showErrorMessage="1" sqref="AY2:AY360">
      <formula1>"LIQUIDACIÓN UNILATERAL,LIQUIDACIÓN BILATERAL,LIQUIDACIÓN BILATERAL CON PENDIENTES,PENDIENTE"</formula1>
    </dataValidation>
    <dataValidation type="list" allowBlank="1" showErrorMessage="1" sqref="V2:V45 V47:V91 V93:V162 V164:V225 V227:V242 V244:V246 V248:V261 V263:V360">
      <formula1>"LIQUIDADO,SUSPENDIDO,RESCILIADO,POR LIQUIDAR,EN EJECUCIÓN,DESISTIO"</formula1>
    </dataValidation>
    <dataValidation type="list" allowBlank="1" showErrorMessage="1" sqref="BA2:BA360">
      <formula1>"COBRO COACTIVO,COBRO PERSUASIVO 1,COBRO PERSUASIVO 2,NO APLICA"</formula1>
    </dataValidation>
    <dataValidation type="list" allowBlank="1" showErrorMessage="1" sqref="BB2:BB360">
      <formula1>"RENDIMIENTOS FINANCIEROS,SALDO NO EJECUTADO,REINTEGRO TOTAL,CONTRIBUCIÓN ESPECIAL,NO APLICA"</formula1>
    </dataValidation>
    <dataValidation type="list" allowBlank="1" showErrorMessage="1" sqref="E1:E154 E156:E157 E160:E284 E351:E1040">
      <formula1>"FINDETER,CONVOCATORIA  3,MATERIALES,RECURSOS,JAC,CAFETEROS,REPARCHEO"</formula1>
    </dataValidation>
    <dataValidation type="list" allowBlank="1" showErrorMessage="1" sqref="AW2:AW360">
      <formula1>"SUSCRIPCIÓN,ACTA DE INICIO,MODIFICACIÓN,TERMINACIÓN,LIQUIDACIÓN"</formula1>
    </dataValidation>
    <dataValidation type="list" allowBlank="1" showErrorMessage="1" sqref="E285:E350">
      <formula1>"FINDETER,CONVOCATORIA  3,MATERIALES,RECURSOS,JAC,SGR,BICIMOTORRUTAS"</formula1>
    </dataValidation>
    <dataValidation type="list" allowBlank="1" showErrorMessage="1" sqref="BD2:BD360">
      <formula1>"CERRADO,EN PROCESO,PENDIENTE"</formula1>
    </dataValidation>
  </dataValidations>
  <printOptions/>
  <pageMargins bottom="0.75" footer="0.0" header="0.0" left="0.7" right="0.7" top="0.75"/>
  <pageSetup orientation="portrait"/>
  <drawing r:id="rId1"/>
</worksheet>
</file>